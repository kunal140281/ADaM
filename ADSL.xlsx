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EDC46A60-CF11-4BCC-8791-013F717B9C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3" sheetId="3" r:id="rId2"/>
    <sheet name="Sheet2" sheetId="6" r:id="rId3"/>
  </sheets>
  <definedNames>
    <definedName name="_xlnm._FilterDatabase" localSheetId="0" hidden="1">Sheet1!$A$1:$I$56</definedName>
  </definedNames>
  <calcPr calcId="191029"/>
</workbook>
</file>

<file path=xl/calcChain.xml><?xml version="1.0" encoding="utf-8"?>
<calcChain xmlns="http://schemas.openxmlformats.org/spreadsheetml/2006/main">
  <c r="C2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1" i="6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1" i="3"/>
</calcChain>
</file>

<file path=xl/sharedStrings.xml><?xml version="1.0" encoding="utf-8"?>
<sst xmlns="http://schemas.openxmlformats.org/spreadsheetml/2006/main" count="636" uniqueCount="184">
  <si>
    <t>Dataset</t>
  </si>
  <si>
    <t>Description</t>
  </si>
  <si>
    <t>Class</t>
  </si>
  <si>
    <t>Variable</t>
  </si>
  <si>
    <t>Label</t>
  </si>
  <si>
    <t>Type</t>
  </si>
  <si>
    <t>Length</t>
  </si>
  <si>
    <t>Source</t>
  </si>
  <si>
    <t>Derivation / Comment</t>
  </si>
  <si>
    <t>ADSL</t>
  </si>
  <si>
    <t>Subject Level Analysis Dataset</t>
  </si>
  <si>
    <t>STUDYID</t>
  </si>
  <si>
    <t>Study Identifier</t>
  </si>
  <si>
    <t>text</t>
  </si>
  <si>
    <t>ASDATA</t>
  </si>
  <si>
    <t>Predecessor</t>
  </si>
  <si>
    <t>DM.STUDYID</t>
  </si>
  <si>
    <t>USUBJID</t>
  </si>
  <si>
    <t>Unique Subject Identifier</t>
  </si>
  <si>
    <t>DM.USUBJID</t>
  </si>
  <si>
    <t>SUBJID</t>
  </si>
  <si>
    <t>Subject Identifier for the Study</t>
  </si>
  <si>
    <t>DM.SUBJID</t>
  </si>
  <si>
    <t>RFSTDTC</t>
  </si>
  <si>
    <t>Subject Reference Start Date/Time</t>
  </si>
  <si>
    <t>dateTime</t>
  </si>
  <si>
    <t>DM.RFSTDTC</t>
  </si>
  <si>
    <t>RFENDTC</t>
  </si>
  <si>
    <t>Subject Reference End Date/Time</t>
  </si>
  <si>
    <t>DM.RFENDTC</t>
  </si>
  <si>
    <t>RFXSTDTC</t>
  </si>
  <si>
    <t>Date/Time of First Study Treatment</t>
  </si>
  <si>
    <t>DM.RFXSTDTC</t>
  </si>
  <si>
    <t>RFXENDTC</t>
  </si>
  <si>
    <t>Date/Time of Last Study Treatment</t>
  </si>
  <si>
    <t>DM.RFXENDTC</t>
  </si>
  <si>
    <t>RFICDTC</t>
  </si>
  <si>
    <t>Date/Time of Informed Consent</t>
  </si>
  <si>
    <t>DM.RFICDTC</t>
  </si>
  <si>
    <t>RFPENDTC</t>
  </si>
  <si>
    <t>Date/Time of End of Participation</t>
  </si>
  <si>
    <t>DM.RFPENDTC</t>
  </si>
  <si>
    <t>DTHDTC</t>
  </si>
  <si>
    <t>Date/Time of Death</t>
  </si>
  <si>
    <t>DM.DTHDTC</t>
  </si>
  <si>
    <t>DTHFL</t>
  </si>
  <si>
    <t>Subject Death Flag</t>
  </si>
  <si>
    <t>predecessor</t>
  </si>
  <si>
    <t>DM.DTHFL</t>
  </si>
  <si>
    <t>SITEID</t>
  </si>
  <si>
    <t>Study Site Identifier</t>
  </si>
  <si>
    <t>DM.SITEID</t>
  </si>
  <si>
    <t>BRTHDTC</t>
  </si>
  <si>
    <t>Date/Time of Birth</t>
  </si>
  <si>
    <t>DM.BRTHDTC</t>
  </si>
  <si>
    <t>AGE</t>
  </si>
  <si>
    <t>Age</t>
  </si>
  <si>
    <t>integer</t>
  </si>
  <si>
    <t>DM.AGE</t>
  </si>
  <si>
    <t>AGEU</t>
  </si>
  <si>
    <t>Age Units</t>
  </si>
  <si>
    <t>DM.AGEU</t>
  </si>
  <si>
    <t>AGEGR1</t>
  </si>
  <si>
    <t>Pooled Age Group 1</t>
  </si>
  <si>
    <t>Assigned</t>
  </si>
  <si>
    <t>If AGE less than 40 then set to '&lt; 40 years old';
If AGE greater than equal to 40 then set to '&gt;= 40 years old'</t>
  </si>
  <si>
    <t>SEX</t>
  </si>
  <si>
    <t>Sex</t>
  </si>
  <si>
    <t>DM.SEX</t>
  </si>
  <si>
    <t>SEXN</t>
  </si>
  <si>
    <t>Sex (N)</t>
  </si>
  <si>
    <t>if SEX = 'F' then set to 2; else if SEX = 'M' then set to 1;</t>
  </si>
  <si>
    <t>RACE</t>
  </si>
  <si>
    <t>Race</t>
  </si>
  <si>
    <t>DM.RACE</t>
  </si>
  <si>
    <t>RACEN</t>
  </si>
  <si>
    <t>Race (N)</t>
  </si>
  <si>
    <t>if RACE = "AMERICAN INDIAN OR ALASKA NATIVE" then RACEN=1;
else if RACE = "ASIAN" then RACEN=2;
else if RACE = "BLACK OR AFRICAN AMERICAN" then RACEN=3;
else if RACE = "NATIVE HAWAIIAN OR OTHER PACIFIC ISLANDER" then RACEN=4;
else if RACE = "WHITE" then RACEN=5;
else if RACE = "OTHER" then RACEN=6;
else if RACE = "NOT REPORTED" then RACEN=7;else if RACE = " " then RACEN=8;</t>
  </si>
  <si>
    <t>ETHNIC</t>
  </si>
  <si>
    <t>Ethnicity</t>
  </si>
  <si>
    <t>DM.ETHNIC</t>
  </si>
  <si>
    <t>ETHNICN</t>
  </si>
  <si>
    <t>Ethnicity (N)</t>
  </si>
  <si>
    <t>if ETHNIC="HISPANIC OR LATINO" then ETHNICN=1;
else if ETHNIC="NOT HISPANIC OR LATINO" then ETHNICN=2;
else if ETHNIC="UNKNOWN" then ETHNICN=3;
else if ETHNIC="NOT REPORTED" then ETHNICN=4;</t>
  </si>
  <si>
    <t>ARMCD</t>
  </si>
  <si>
    <t>Planned Arm Code</t>
  </si>
  <si>
    <t>Description of Planned Arm</t>
  </si>
  <si>
    <t>DM.ARM.</t>
  </si>
  <si>
    <t>ARM</t>
  </si>
  <si>
    <t>DM.ARMCD</t>
  </si>
  <si>
    <t>ACTARMCD</t>
  </si>
  <si>
    <t>Actual Arm Code</t>
  </si>
  <si>
    <t>DM.ACTARM</t>
  </si>
  <si>
    <t>ACTARM</t>
  </si>
  <si>
    <t>Description of Actual Arm</t>
  </si>
  <si>
    <t>DM.ACTARMCD</t>
  </si>
  <si>
    <t>COUNTRY</t>
  </si>
  <si>
    <t>Country</t>
  </si>
  <si>
    <t>DM.COUNTRY</t>
  </si>
  <si>
    <t>RANDFL</t>
  </si>
  <si>
    <t>Randomization Flag</t>
  </si>
  <si>
    <t>Set to 'Y' if subject has a record in DS where DS.DSDECOD='RANDOMIZED' ,DSSTDTC is not missing</t>
  </si>
  <si>
    <t>RANDDT</t>
  </si>
  <si>
    <t>Date of Randomization</t>
  </si>
  <si>
    <t>Derived</t>
  </si>
  <si>
    <t>Set to datepart of DS.DSSTDTC if subject has a record in DS where DS.DSDECOD='RANDOMIZED' ,DSSTDTC is not missing</t>
  </si>
  <si>
    <t>SCRNFL</t>
  </si>
  <si>
    <t>Screened Population Flag</t>
  </si>
  <si>
    <t>Set to 'Y' for DM.RFICDTC not equal to missing</t>
  </si>
  <si>
    <t>SAFFL</t>
  </si>
  <si>
    <t>Safety Population Flag</t>
  </si>
  <si>
    <t>Set to 'Y' if RFXSTDTC is not missing</t>
  </si>
  <si>
    <t>ITTFL</t>
  </si>
  <si>
    <t>Intent-To-Treat Population Flag</t>
  </si>
  <si>
    <t>Set to 'Y' if RANDFL='y'</t>
  </si>
  <si>
    <t>PPROTFL</t>
  </si>
  <si>
    <t>Per-protocol Population Flag</t>
  </si>
  <si>
    <t>If ITTFL ='Y' and also subject completed Day 14 then set PPROTFL = 'Y'; 
Else set to 'N';</t>
  </si>
  <si>
    <t>TRT01P</t>
  </si>
  <si>
    <t>Planned Treatment for Period 01</t>
  </si>
  <si>
    <t>Set to 'Tafenoquine' if DM.ARMCD  ='TQ';
Else set to 'Placebo' if DM.ARMCD = 'PLACEBO';</t>
  </si>
  <si>
    <t>TRT01PN</t>
  </si>
  <si>
    <t>Planned Treatment for Period 01 (N)</t>
  </si>
  <si>
    <t xml:space="preserve">if TRT01P = "Tafenoquine" then TRT01PN = 1;
else if TRT01P = "Placebo" then TRT01PN = 2;
</t>
  </si>
  <si>
    <t>TRT01A</t>
  </si>
  <si>
    <t>Actual Treatment for Period 01</t>
  </si>
  <si>
    <t>Set to 'Tafenoquine' if DM.ACTARMCD  ='TQ';
Else set to 'Placebo' if DM.ACTARMCD = 'PLACEBO';</t>
  </si>
  <si>
    <t>TRT01AN</t>
  </si>
  <si>
    <t>Actual Treatment for Period 01 (N)</t>
  </si>
  <si>
    <t xml:space="preserve">if TRT01A = "Tafenoquine" then TRT01AN = 1;
else if TRT01A = "Placebo" then TRT01AN = 2;
</t>
  </si>
  <si>
    <t>TRTSDTM</t>
  </si>
  <si>
    <t>Datetime of First Exposure to Treatment</t>
  </si>
  <si>
    <t>Set to numeric datetime of DM.RFXSTDTC.</t>
  </si>
  <si>
    <t>TRTSDT</t>
  </si>
  <si>
    <t>Date of First Exposure to Treatment</t>
  </si>
  <si>
    <t>Set to numeric date part of DM.RFXSTDTC.</t>
  </si>
  <si>
    <t>TRTEDTM</t>
  </si>
  <si>
    <t>Datetime of Last Exposure to Treatment</t>
  </si>
  <si>
    <t>Set to timepart of DM.RFXENDTC</t>
  </si>
  <si>
    <t>TRTEDT</t>
  </si>
  <si>
    <t>Date of Last Exposure to Treatment</t>
  </si>
  <si>
    <t>TRTDURD</t>
  </si>
  <si>
    <t>Total Treatment Duration (minutes)</t>
  </si>
  <si>
    <t>EOSSTT</t>
  </si>
  <si>
    <t>End of Study Status</t>
  </si>
  <si>
    <t>EOSDT</t>
  </si>
  <si>
    <t>End of Study Date</t>
  </si>
  <si>
    <t>Set to datepart of Start Date/Time of Disposition Event [DS.DSSTDTC] converted to numeric date when Category for Disposition Event [DS.DSCAT] = "DISPOSITION EVENT"</t>
  </si>
  <si>
    <t>DCSREAS</t>
  </si>
  <si>
    <t>Reason for Discontinuation from Study</t>
  </si>
  <si>
    <t>Set to Standardized Disposition Term [DS.DSDECOD], if Category for Disposition Event [DS.DSCAT] = "DISPOSITION EVENT" and Subcategory for Disposition Event [DS.DSSCAT] = "END OF STUDY/EARLY TERMINATION" and Standardized Disposition Term [DS.DSDECOD] is not missing and not "COMPLETED".
Else set to null.
If the subject is a Screen failure then set to missing.</t>
  </si>
  <si>
    <t>DCSREASP</t>
  </si>
  <si>
    <t>Reason Spec for Discont from Study</t>
  </si>
  <si>
    <t>Set to Reported Term for the Disposition Event [DS.DSTERM], if Category for Disposition Event [DS.DSCAT] = "DISPOSITION EVENT" and Subcategory for Disposition Event [DS.DSSCAT] = "END OF STUDY/EARLY TERMINATION" and Standardized Disposition Term [DS.DSDECOD] = "OTHER"</t>
  </si>
  <si>
    <t>BBMISI</t>
  </si>
  <si>
    <t>Baseline BMI (kg/m2)</t>
  </si>
  <si>
    <t>Calucalte BMI based on VSSTRESN where VSTESTCD equals to 'HEIGHT' and 'WEIGHT'</t>
  </si>
  <si>
    <t>BHGHTSI</t>
  </si>
  <si>
    <t>Baseline Height (cm)</t>
  </si>
  <si>
    <t>Set to VS.VSSTRESN  where VS.VSTESTCD = 'HEIGHT' and VISIT='Screening/Day -4 to -1'</t>
  </si>
  <si>
    <t>BWGHTSI</t>
  </si>
  <si>
    <t>Baseline Weight (kg)</t>
  </si>
  <si>
    <t>Set to VS.VSSTRESN  where VS.VSTESTCD = 'WEIGHT' and VISIT='Screening/Day -4 to -1'</t>
  </si>
  <si>
    <t>MFUV</t>
  </si>
  <si>
    <t>Medical Follow-up Visit</t>
  </si>
  <si>
    <t>Set to Numeric value of SUPPDM.QVAL where QNAM = 'MFUV'</t>
  </si>
  <si>
    <t>VCYN</t>
  </si>
  <si>
    <t>Did the subject get a COVID-19 vaccine?</t>
  </si>
  <si>
    <t>Set to SUPPDM.QVAL where QNAM = 'VCYN'</t>
  </si>
  <si>
    <t>VCNUM</t>
  </si>
  <si>
    <t>How many doses?</t>
  </si>
  <si>
    <t>Set to Numeric value of SUPPDM.QVAL where QNAM = 'VCNUM'</t>
  </si>
  <si>
    <t>COVD14FL</t>
  </si>
  <si>
    <t>Clinical recovery on Day 14 Flag</t>
  </si>
  <si>
    <t>COVD28FL</t>
  </si>
  <si>
    <t>Clinical recovery on Day 28 Flag</t>
  </si>
  <si>
    <t>Set to numeric date part of DM.RFXENDTC.</t>
  </si>
  <si>
    <t>HOSPCOFL</t>
  </si>
  <si>
    <t>Hospitalized due to COVID-19</t>
  </si>
  <si>
    <t>Set to SUPPDM.QVAL where QNAM = HOSPCOFL</t>
  </si>
  <si>
    <t>If the subject met all the Clinical Recovery condistions ('COUGH' 'SHORTNESS OF BREATH (DIFFICULTY BREATHING)')  on or before Day 14 then flag as 'Y'; Else Set to 'N'</t>
  </si>
  <si>
    <t>If the subject met all the Clinical Recovery condistions('COUGH' 'SHORTNESS OF BREATH (DIFFICULTY BREATHING)')  on or before  Day 28 then flag as 'Y'; Else Set to 'N'</t>
  </si>
  <si>
    <t>(ADSL.TRTEDTM - ADSL.TRTSDTM)+1</t>
  </si>
  <si>
    <r>
      <t xml:space="preserve">Set to "Completed" if Category for Disposition Event upcase [DS.DSCAT] = "DISPOSITION EVENT" and Subcategory for Disposition Event upcase [DS.DSSCAT] = "END OF STUDY/EARLY TERMINATION" and Standardized Disposition Term upcase [DS.DSDECOD] = "COMPLETED". 
Else set to "Discontinued" if Category for Disposition Event upcase [DS.DSCAT] = "DISPOSITION EVENT" and Subcategory for Disposition Event upcase [DS.DSSCAT] ="END OF STUDY/EARLY TERMINATION" and Standardized Disposition Term upcase [DS.DSDECOD] is not equal to "COMPLETED". 
Else set to "Screen Failure" if Category for Disposition Event upcase [DS.DSCAT] = "DISPOSITION EVENT" and Subcategory for Disposition Event upcase [DS.DSSCAT] ="SCREEN FAILURE" and Standardized Disposition Term upcase [DS.DSDECOD] is not missing .
</t>
    </r>
    <r>
      <rPr>
        <sz val="11"/>
        <color rgb="FFFF0000"/>
        <rFont val="Calibri"/>
        <family val="2"/>
        <scheme val="minor"/>
      </rPr>
      <t>if EOSSTT = " " and TRTSDT ne . then EOSSTT = "Ongoing"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</si>
</sst>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topLeftCell="A48" zoomScale="86" workbookViewId="0">
      <selection activeCell="D2" sqref="D2:D56"/>
    </sheetView>
  </sheetViews>
  <sheetFormatPr defaultRowHeight="14.5" x14ac:dyDescent="0.35"/>
  <cols>
    <col min="1" max="1" width="15" customWidth="1"/>
    <col min="2" max="2" width="28.1796875" bestFit="1" customWidth="1"/>
    <col min="3" max="3" width="10.453125" customWidth="1"/>
    <col min="4" max="4" width="12.453125" customWidth="1"/>
    <col min="5" max="5" width="40.453125" bestFit="1" customWidth="1"/>
    <col min="6" max="6" width="9.453125" bestFit="1" customWidth="1"/>
    <col min="7" max="7" width="8.1796875" bestFit="1" customWidth="1"/>
    <col min="8" max="8" width="11.81640625" bestFit="1" customWidth="1"/>
    <col min="9" max="9" width="255.7265625" bestFit="1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9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5">
      <c r="A3" t="s">
        <v>9</v>
      </c>
      <c r="B3" t="s">
        <v>10</v>
      </c>
      <c r="C3" t="s">
        <v>9</v>
      </c>
      <c r="D3" t="s">
        <v>17</v>
      </c>
      <c r="E3" t="s">
        <v>18</v>
      </c>
      <c r="F3" t="s">
        <v>13</v>
      </c>
      <c r="G3" t="s">
        <v>14</v>
      </c>
      <c r="H3" t="s">
        <v>15</v>
      </c>
      <c r="I3" t="s">
        <v>19</v>
      </c>
    </row>
    <row r="4" spans="1:9" x14ac:dyDescent="0.35">
      <c r="A4" t="s">
        <v>9</v>
      </c>
      <c r="B4" t="s">
        <v>10</v>
      </c>
      <c r="C4" t="s">
        <v>9</v>
      </c>
      <c r="D4" t="s">
        <v>20</v>
      </c>
      <c r="E4" t="s">
        <v>21</v>
      </c>
      <c r="F4" t="s">
        <v>13</v>
      </c>
      <c r="G4" t="s">
        <v>14</v>
      </c>
      <c r="H4" t="s">
        <v>15</v>
      </c>
      <c r="I4" t="s">
        <v>22</v>
      </c>
    </row>
    <row r="5" spans="1:9" x14ac:dyDescent="0.35">
      <c r="A5" t="s">
        <v>9</v>
      </c>
      <c r="B5" t="s">
        <v>10</v>
      </c>
      <c r="C5" t="s">
        <v>9</v>
      </c>
      <c r="D5" t="s">
        <v>23</v>
      </c>
      <c r="E5" t="s">
        <v>24</v>
      </c>
      <c r="F5" t="s">
        <v>25</v>
      </c>
      <c r="G5" t="s">
        <v>14</v>
      </c>
      <c r="H5" t="s">
        <v>15</v>
      </c>
      <c r="I5" t="s">
        <v>26</v>
      </c>
    </row>
    <row r="6" spans="1:9" s="3" customFormat="1" x14ac:dyDescent="0.35">
      <c r="A6" t="s">
        <v>9</v>
      </c>
      <c r="B6" t="s">
        <v>10</v>
      </c>
      <c r="C6" t="s">
        <v>9</v>
      </c>
      <c r="D6" t="s">
        <v>27</v>
      </c>
      <c r="E6" t="s">
        <v>28</v>
      </c>
      <c r="F6" t="s">
        <v>25</v>
      </c>
      <c r="G6" t="s">
        <v>14</v>
      </c>
      <c r="H6" t="s">
        <v>15</v>
      </c>
      <c r="I6" t="s">
        <v>29</v>
      </c>
    </row>
    <row r="7" spans="1:9" s="3" customFormat="1" x14ac:dyDescent="0.35">
      <c r="A7" t="s">
        <v>9</v>
      </c>
      <c r="B7" t="s">
        <v>10</v>
      </c>
      <c r="C7" t="s">
        <v>9</v>
      </c>
      <c r="D7" t="s">
        <v>30</v>
      </c>
      <c r="E7" t="s">
        <v>31</v>
      </c>
      <c r="F7" t="s">
        <v>25</v>
      </c>
      <c r="G7" t="s">
        <v>14</v>
      </c>
      <c r="H7" t="s">
        <v>15</v>
      </c>
      <c r="I7" t="s">
        <v>32</v>
      </c>
    </row>
    <row r="8" spans="1:9" s="3" customFormat="1" x14ac:dyDescent="0.35">
      <c r="A8" t="s">
        <v>9</v>
      </c>
      <c r="B8" t="s">
        <v>10</v>
      </c>
      <c r="C8" t="s">
        <v>9</v>
      </c>
      <c r="D8" t="s">
        <v>33</v>
      </c>
      <c r="E8" t="s">
        <v>34</v>
      </c>
      <c r="F8" t="s">
        <v>25</v>
      </c>
      <c r="G8" t="s">
        <v>14</v>
      </c>
      <c r="H8" t="s">
        <v>15</v>
      </c>
      <c r="I8" t="s">
        <v>35</v>
      </c>
    </row>
    <row r="9" spans="1:9" s="3" customFormat="1" x14ac:dyDescent="0.35">
      <c r="A9" t="s">
        <v>9</v>
      </c>
      <c r="B9" t="s">
        <v>10</v>
      </c>
      <c r="C9" t="s">
        <v>9</v>
      </c>
      <c r="D9" t="s">
        <v>36</v>
      </c>
      <c r="E9" t="s">
        <v>37</v>
      </c>
      <c r="F9" t="s">
        <v>25</v>
      </c>
      <c r="G9" t="s">
        <v>14</v>
      </c>
      <c r="H9" t="s">
        <v>15</v>
      </c>
      <c r="I9" t="s">
        <v>38</v>
      </c>
    </row>
    <row r="10" spans="1:9" s="3" customFormat="1" x14ac:dyDescent="0.35">
      <c r="A10" t="s">
        <v>9</v>
      </c>
      <c r="B10" t="s">
        <v>10</v>
      </c>
      <c r="C10" t="s">
        <v>9</v>
      </c>
      <c r="D10" t="s">
        <v>39</v>
      </c>
      <c r="E10" t="s">
        <v>40</v>
      </c>
      <c r="F10" t="s">
        <v>25</v>
      </c>
      <c r="G10" t="s">
        <v>14</v>
      </c>
      <c r="H10" t="s">
        <v>15</v>
      </c>
      <c r="I10" t="s">
        <v>41</v>
      </c>
    </row>
    <row r="11" spans="1:9" s="3" customFormat="1" x14ac:dyDescent="0.35">
      <c r="A11" t="s">
        <v>9</v>
      </c>
      <c r="B11" t="s">
        <v>10</v>
      </c>
      <c r="C11" t="s">
        <v>9</v>
      </c>
      <c r="D11" t="s">
        <v>42</v>
      </c>
      <c r="E11" t="s">
        <v>43</v>
      </c>
      <c r="F11" t="s">
        <v>25</v>
      </c>
      <c r="G11" t="s">
        <v>14</v>
      </c>
      <c r="H11" t="s">
        <v>15</v>
      </c>
      <c r="I11" t="s">
        <v>44</v>
      </c>
    </row>
    <row r="12" spans="1:9" s="3" customFormat="1" x14ac:dyDescent="0.35">
      <c r="A12" t="s">
        <v>9</v>
      </c>
      <c r="B12" t="s">
        <v>10</v>
      </c>
      <c r="C12" t="s">
        <v>9</v>
      </c>
      <c r="D12" t="s">
        <v>45</v>
      </c>
      <c r="E12" t="s">
        <v>46</v>
      </c>
      <c r="F12" t="s">
        <v>13</v>
      </c>
      <c r="G12" t="s">
        <v>14</v>
      </c>
      <c r="H12" t="s">
        <v>47</v>
      </c>
      <c r="I12" t="s">
        <v>48</v>
      </c>
    </row>
    <row r="13" spans="1:9" s="3" customFormat="1" x14ac:dyDescent="0.35">
      <c r="A13" t="s">
        <v>9</v>
      </c>
      <c r="B13" t="s">
        <v>10</v>
      </c>
      <c r="C13" t="s">
        <v>9</v>
      </c>
      <c r="D13" t="s">
        <v>49</v>
      </c>
      <c r="E13" t="s">
        <v>50</v>
      </c>
      <c r="F13" t="s">
        <v>13</v>
      </c>
      <c r="G13" t="s">
        <v>14</v>
      </c>
      <c r="H13" t="s">
        <v>15</v>
      </c>
      <c r="I13" t="s">
        <v>51</v>
      </c>
    </row>
    <row r="14" spans="1:9" s="3" customFormat="1" x14ac:dyDescent="0.35">
      <c r="A14" t="s">
        <v>9</v>
      </c>
      <c r="B14" t="s">
        <v>10</v>
      </c>
      <c r="C14" t="s">
        <v>9</v>
      </c>
      <c r="D14" t="s">
        <v>52</v>
      </c>
      <c r="E14" t="s">
        <v>53</v>
      </c>
      <c r="F14" t="s">
        <v>25</v>
      </c>
      <c r="G14" t="s">
        <v>14</v>
      </c>
      <c r="H14" t="s">
        <v>15</v>
      </c>
      <c r="I14" t="s">
        <v>54</v>
      </c>
    </row>
    <row r="15" spans="1:9" s="3" customFormat="1" x14ac:dyDescent="0.35">
      <c r="A15" t="s">
        <v>9</v>
      </c>
      <c r="B15" t="s">
        <v>10</v>
      </c>
      <c r="C15" t="s">
        <v>9</v>
      </c>
      <c r="D15" t="s">
        <v>55</v>
      </c>
      <c r="E15" t="s">
        <v>56</v>
      </c>
      <c r="F15" t="s">
        <v>57</v>
      </c>
      <c r="G15" t="s">
        <v>14</v>
      </c>
      <c r="H15" t="s">
        <v>15</v>
      </c>
      <c r="I15" t="s">
        <v>58</v>
      </c>
    </row>
    <row r="16" spans="1:9" s="3" customFormat="1" x14ac:dyDescent="0.35">
      <c r="A16" t="s">
        <v>9</v>
      </c>
      <c r="B16" t="s">
        <v>10</v>
      </c>
      <c r="C16" t="s">
        <v>9</v>
      </c>
      <c r="D16" t="s">
        <v>59</v>
      </c>
      <c r="E16" t="s">
        <v>60</v>
      </c>
      <c r="F16" t="s">
        <v>13</v>
      </c>
      <c r="G16" t="s">
        <v>14</v>
      </c>
      <c r="H16" t="s">
        <v>15</v>
      </c>
      <c r="I16" t="s">
        <v>61</v>
      </c>
    </row>
    <row r="17" spans="1:9" s="3" customFormat="1" x14ac:dyDescent="0.35">
      <c r="A17" t="s">
        <v>9</v>
      </c>
      <c r="B17" t="s">
        <v>10</v>
      </c>
      <c r="C17" t="s">
        <v>9</v>
      </c>
      <c r="D17" t="s">
        <v>66</v>
      </c>
      <c r="E17" t="s">
        <v>67</v>
      </c>
      <c r="F17" t="s">
        <v>13</v>
      </c>
      <c r="G17">
        <v>1</v>
      </c>
      <c r="H17" t="s">
        <v>15</v>
      </c>
      <c r="I17" t="s">
        <v>68</v>
      </c>
    </row>
    <row r="18" spans="1:9" s="3" customFormat="1" x14ac:dyDescent="0.35">
      <c r="A18" t="s">
        <v>9</v>
      </c>
      <c r="B18" t="s">
        <v>10</v>
      </c>
      <c r="C18" t="s">
        <v>9</v>
      </c>
      <c r="D18" t="s">
        <v>72</v>
      </c>
      <c r="E18" t="s">
        <v>73</v>
      </c>
      <c r="F18" t="s">
        <v>13</v>
      </c>
      <c r="G18" t="s">
        <v>14</v>
      </c>
      <c r="H18" t="s">
        <v>15</v>
      </c>
      <c r="I18" t="s">
        <v>74</v>
      </c>
    </row>
    <row r="19" spans="1:9" s="3" customFormat="1" x14ac:dyDescent="0.35">
      <c r="A19" t="s">
        <v>9</v>
      </c>
      <c r="B19" t="s">
        <v>10</v>
      </c>
      <c r="C19" t="s">
        <v>9</v>
      </c>
      <c r="D19" t="s">
        <v>78</v>
      </c>
      <c r="E19" t="s">
        <v>79</v>
      </c>
      <c r="F19" t="s">
        <v>13</v>
      </c>
      <c r="G19" t="s">
        <v>14</v>
      </c>
      <c r="H19" t="s">
        <v>15</v>
      </c>
      <c r="I19" t="s">
        <v>80</v>
      </c>
    </row>
    <row r="20" spans="1:9" s="3" customFormat="1" x14ac:dyDescent="0.35">
      <c r="A20" t="s">
        <v>9</v>
      </c>
      <c r="B20" t="s">
        <v>10</v>
      </c>
      <c r="C20" t="s">
        <v>9</v>
      </c>
      <c r="D20" t="s">
        <v>84</v>
      </c>
      <c r="E20" t="s">
        <v>85</v>
      </c>
      <c r="F20" t="s">
        <v>13</v>
      </c>
      <c r="G20" t="s">
        <v>14</v>
      </c>
      <c r="H20" t="s">
        <v>15</v>
      </c>
      <c r="I20" t="s">
        <v>87</v>
      </c>
    </row>
    <row r="21" spans="1:9" s="3" customFormat="1" x14ac:dyDescent="0.35">
      <c r="A21" t="s">
        <v>9</v>
      </c>
      <c r="B21" t="s">
        <v>10</v>
      </c>
      <c r="C21" t="s">
        <v>9</v>
      </c>
      <c r="D21" t="s">
        <v>88</v>
      </c>
      <c r="E21" t="s">
        <v>86</v>
      </c>
      <c r="F21" t="s">
        <v>13</v>
      </c>
      <c r="G21" t="s">
        <v>14</v>
      </c>
      <c r="H21" t="s">
        <v>15</v>
      </c>
      <c r="I21" t="s">
        <v>89</v>
      </c>
    </row>
    <row r="22" spans="1:9" s="3" customFormat="1" x14ac:dyDescent="0.35">
      <c r="A22" t="s">
        <v>9</v>
      </c>
      <c r="B22" t="s">
        <v>10</v>
      </c>
      <c r="C22" t="s">
        <v>9</v>
      </c>
      <c r="D22" t="s">
        <v>90</v>
      </c>
      <c r="E22" t="s">
        <v>91</v>
      </c>
      <c r="F22" t="s">
        <v>13</v>
      </c>
      <c r="G22" t="s">
        <v>14</v>
      </c>
      <c r="H22" t="s">
        <v>15</v>
      </c>
      <c r="I22" t="s">
        <v>92</v>
      </c>
    </row>
    <row r="23" spans="1:9" s="3" customFormat="1" x14ac:dyDescent="0.35">
      <c r="A23" t="s">
        <v>9</v>
      </c>
      <c r="B23" t="s">
        <v>10</v>
      </c>
      <c r="C23" t="s">
        <v>9</v>
      </c>
      <c r="D23" t="s">
        <v>93</v>
      </c>
      <c r="E23" t="s">
        <v>94</v>
      </c>
      <c r="F23" t="s">
        <v>13</v>
      </c>
      <c r="G23" t="s">
        <v>14</v>
      </c>
      <c r="H23" t="s">
        <v>15</v>
      </c>
      <c r="I23" t="s">
        <v>95</v>
      </c>
    </row>
    <row r="24" spans="1:9" s="3" customFormat="1" x14ac:dyDescent="0.35">
      <c r="A24" t="s">
        <v>9</v>
      </c>
      <c r="B24" t="s">
        <v>10</v>
      </c>
      <c r="C24" t="s">
        <v>9</v>
      </c>
      <c r="D24" t="s">
        <v>96</v>
      </c>
      <c r="E24" t="s">
        <v>97</v>
      </c>
      <c r="F24" t="s">
        <v>13</v>
      </c>
      <c r="G24" t="s">
        <v>14</v>
      </c>
      <c r="H24" t="s">
        <v>15</v>
      </c>
      <c r="I24" t="s">
        <v>98</v>
      </c>
    </row>
    <row r="25" spans="1:9" s="3" customFormat="1" x14ac:dyDescent="0.35">
      <c r="A25" s="3" t="s">
        <v>9</v>
      </c>
      <c r="B25" s="3" t="s">
        <v>10</v>
      </c>
      <c r="C25" s="3" t="s">
        <v>9</v>
      </c>
      <c r="D25" s="3" t="s">
        <v>99</v>
      </c>
      <c r="E25" s="3" t="s">
        <v>100</v>
      </c>
      <c r="F25" s="3" t="s">
        <v>13</v>
      </c>
      <c r="G25" s="3">
        <v>1</v>
      </c>
      <c r="H25" s="3" t="s">
        <v>104</v>
      </c>
      <c r="I25" s="3" t="s">
        <v>101</v>
      </c>
    </row>
    <row r="26" spans="1:9" s="3" customFormat="1" x14ac:dyDescent="0.35">
      <c r="A26" s="3" t="s">
        <v>9</v>
      </c>
      <c r="B26" s="3" t="s">
        <v>10</v>
      </c>
      <c r="C26" s="3" t="s">
        <v>9</v>
      </c>
      <c r="D26" s="3" t="s">
        <v>102</v>
      </c>
      <c r="E26" s="3" t="s">
        <v>103</v>
      </c>
      <c r="F26" s="3" t="s">
        <v>57</v>
      </c>
      <c r="G26" s="3">
        <v>8</v>
      </c>
      <c r="H26" s="3" t="s">
        <v>104</v>
      </c>
      <c r="I26" s="3" t="s">
        <v>105</v>
      </c>
    </row>
    <row r="27" spans="1:9" s="3" customFormat="1" x14ac:dyDescent="0.35">
      <c r="A27" s="3" t="s">
        <v>9</v>
      </c>
      <c r="B27" s="3" t="s">
        <v>10</v>
      </c>
      <c r="C27" s="3" t="s">
        <v>9</v>
      </c>
      <c r="D27" s="3" t="s">
        <v>106</v>
      </c>
      <c r="E27" s="3" t="s">
        <v>107</v>
      </c>
      <c r="F27" s="3" t="s">
        <v>13</v>
      </c>
      <c r="G27" s="3">
        <v>1</v>
      </c>
      <c r="H27" s="3" t="s">
        <v>104</v>
      </c>
      <c r="I27" s="3" t="s">
        <v>108</v>
      </c>
    </row>
    <row r="28" spans="1:9" s="3" customFormat="1" x14ac:dyDescent="0.35">
      <c r="A28" s="3" t="s">
        <v>9</v>
      </c>
      <c r="B28" s="3" t="s">
        <v>10</v>
      </c>
      <c r="C28" s="3" t="s">
        <v>9</v>
      </c>
      <c r="D28" s="3" t="s">
        <v>109</v>
      </c>
      <c r="E28" s="3" t="s">
        <v>110</v>
      </c>
      <c r="F28" s="3" t="s">
        <v>13</v>
      </c>
      <c r="G28" s="3">
        <v>1</v>
      </c>
      <c r="H28" s="3" t="s">
        <v>104</v>
      </c>
      <c r="I28" s="3" t="s">
        <v>111</v>
      </c>
    </row>
    <row r="29" spans="1:9" s="3" customFormat="1" x14ac:dyDescent="0.35">
      <c r="A29" s="3" t="s">
        <v>9</v>
      </c>
      <c r="B29" s="3" t="s">
        <v>10</v>
      </c>
      <c r="C29" s="3" t="s">
        <v>9</v>
      </c>
      <c r="D29" s="3" t="s">
        <v>112</v>
      </c>
      <c r="E29" s="3" t="s">
        <v>113</v>
      </c>
      <c r="F29" s="3" t="s">
        <v>13</v>
      </c>
      <c r="G29" s="3">
        <v>1</v>
      </c>
      <c r="H29" s="3" t="s">
        <v>104</v>
      </c>
      <c r="I29" s="3" t="s">
        <v>114</v>
      </c>
    </row>
    <row r="30" spans="1:9" s="3" customFormat="1" ht="29" x14ac:dyDescent="0.35">
      <c r="A30" s="3" t="s">
        <v>9</v>
      </c>
      <c r="B30" s="3" t="s">
        <v>10</v>
      </c>
      <c r="C30" s="3" t="s">
        <v>9</v>
      </c>
      <c r="D30" s="3" t="s">
        <v>115</v>
      </c>
      <c r="E30" s="3" t="s">
        <v>116</v>
      </c>
      <c r="F30" s="3" t="s">
        <v>13</v>
      </c>
      <c r="G30" s="3">
        <v>1</v>
      </c>
      <c r="H30" s="3" t="s">
        <v>104</v>
      </c>
      <c r="I30" s="4" t="s">
        <v>117</v>
      </c>
    </row>
    <row r="31" spans="1:9" ht="29" x14ac:dyDescent="0.35">
      <c r="A31" s="3" t="s">
        <v>9</v>
      </c>
      <c r="B31" s="3" t="s">
        <v>10</v>
      </c>
      <c r="C31" s="3" t="s">
        <v>9</v>
      </c>
      <c r="D31" s="3" t="s">
        <v>118</v>
      </c>
      <c r="E31" s="3" t="s">
        <v>119</v>
      </c>
      <c r="F31" s="3" t="s">
        <v>13</v>
      </c>
      <c r="G31" s="3">
        <v>40</v>
      </c>
      <c r="H31" s="3" t="s">
        <v>104</v>
      </c>
      <c r="I31" s="4" t="s">
        <v>120</v>
      </c>
    </row>
    <row r="32" spans="1:9" x14ac:dyDescent="0.35">
      <c r="A32" s="3" t="s">
        <v>9</v>
      </c>
      <c r="B32" s="3" t="s">
        <v>10</v>
      </c>
      <c r="C32" s="3" t="s">
        <v>9</v>
      </c>
      <c r="D32" s="3" t="s">
        <v>121</v>
      </c>
      <c r="E32" s="3" t="s">
        <v>122</v>
      </c>
      <c r="F32" s="3" t="s">
        <v>57</v>
      </c>
      <c r="G32" s="3">
        <v>8</v>
      </c>
      <c r="H32" s="3" t="s">
        <v>104</v>
      </c>
      <c r="I32" s="3" t="s">
        <v>123</v>
      </c>
    </row>
    <row r="33" spans="1:9" ht="29" x14ac:dyDescent="0.35">
      <c r="A33" s="3" t="s">
        <v>9</v>
      </c>
      <c r="B33" s="3" t="s">
        <v>10</v>
      </c>
      <c r="C33" s="3" t="s">
        <v>9</v>
      </c>
      <c r="D33" s="3" t="s">
        <v>124</v>
      </c>
      <c r="E33" s="3" t="s">
        <v>125</v>
      </c>
      <c r="F33" s="3" t="s">
        <v>13</v>
      </c>
      <c r="G33" s="3">
        <v>40</v>
      </c>
      <c r="H33" s="3" t="s">
        <v>104</v>
      </c>
      <c r="I33" s="4" t="s">
        <v>126</v>
      </c>
    </row>
    <row r="34" spans="1:9" ht="27.5" customHeight="1" x14ac:dyDescent="0.35">
      <c r="A34" s="3" t="s">
        <v>9</v>
      </c>
      <c r="B34" s="3" t="s">
        <v>10</v>
      </c>
      <c r="C34" s="3" t="s">
        <v>9</v>
      </c>
      <c r="D34" s="3" t="s">
        <v>127</v>
      </c>
      <c r="E34" s="3" t="s">
        <v>128</v>
      </c>
      <c r="F34" s="3" t="s">
        <v>57</v>
      </c>
      <c r="G34" s="3">
        <v>8</v>
      </c>
      <c r="H34" s="3" t="s">
        <v>104</v>
      </c>
      <c r="I34" s="3" t="s">
        <v>129</v>
      </c>
    </row>
    <row r="35" spans="1:9" ht="33" customHeight="1" x14ac:dyDescent="0.35">
      <c r="A35" s="3" t="s">
        <v>9</v>
      </c>
      <c r="B35" s="3" t="s">
        <v>10</v>
      </c>
      <c r="C35" s="3" t="s">
        <v>9</v>
      </c>
      <c r="D35" s="3" t="s">
        <v>130</v>
      </c>
      <c r="E35" s="3" t="s">
        <v>131</v>
      </c>
      <c r="F35" s="3" t="s">
        <v>57</v>
      </c>
      <c r="G35" s="3">
        <v>8</v>
      </c>
      <c r="H35" s="3" t="s">
        <v>104</v>
      </c>
      <c r="I35" s="3" t="s">
        <v>132</v>
      </c>
    </row>
    <row r="36" spans="1:9" x14ac:dyDescent="0.35">
      <c r="A36" s="3" t="s">
        <v>9</v>
      </c>
      <c r="B36" s="3" t="s">
        <v>10</v>
      </c>
      <c r="C36" s="3" t="s">
        <v>9</v>
      </c>
      <c r="D36" s="3" t="s">
        <v>133</v>
      </c>
      <c r="E36" s="3" t="s">
        <v>134</v>
      </c>
      <c r="F36" s="3" t="s">
        <v>57</v>
      </c>
      <c r="G36" s="3">
        <v>8</v>
      </c>
      <c r="H36" s="3" t="s">
        <v>104</v>
      </c>
      <c r="I36" s="3" t="s">
        <v>135</v>
      </c>
    </row>
    <row r="37" spans="1:9" x14ac:dyDescent="0.35">
      <c r="A37" s="3" t="s">
        <v>9</v>
      </c>
      <c r="B37" s="3" t="s">
        <v>10</v>
      </c>
      <c r="C37" s="3" t="s">
        <v>9</v>
      </c>
      <c r="D37" s="3" t="s">
        <v>136</v>
      </c>
      <c r="E37" s="3" t="s">
        <v>137</v>
      </c>
      <c r="F37" s="3" t="s">
        <v>57</v>
      </c>
      <c r="G37" s="3">
        <v>8</v>
      </c>
      <c r="H37" s="3" t="s">
        <v>104</v>
      </c>
      <c r="I37" s="3" t="s">
        <v>138</v>
      </c>
    </row>
    <row r="38" spans="1:9" x14ac:dyDescent="0.35">
      <c r="A38" s="3" t="s">
        <v>9</v>
      </c>
      <c r="B38" s="3" t="s">
        <v>10</v>
      </c>
      <c r="C38" s="3" t="s">
        <v>9</v>
      </c>
      <c r="D38" s="3" t="s">
        <v>139</v>
      </c>
      <c r="E38" s="3" t="s">
        <v>140</v>
      </c>
      <c r="F38" s="3" t="s">
        <v>57</v>
      </c>
      <c r="G38" s="3">
        <v>8</v>
      </c>
      <c r="H38" s="3" t="s">
        <v>104</v>
      </c>
      <c r="I38" s="3" t="s">
        <v>176</v>
      </c>
    </row>
    <row r="39" spans="1:9" x14ac:dyDescent="0.35">
      <c r="A39" s="3" t="s">
        <v>9</v>
      </c>
      <c r="B39" s="3" t="s">
        <v>10</v>
      </c>
      <c r="C39" s="3" t="s">
        <v>9</v>
      </c>
      <c r="D39" s="3" t="s">
        <v>141</v>
      </c>
      <c r="E39" s="3" t="s">
        <v>142</v>
      </c>
      <c r="F39" s="3" t="s">
        <v>57</v>
      </c>
      <c r="G39" s="3">
        <v>8</v>
      </c>
      <c r="H39" s="3" t="s">
        <v>104</v>
      </c>
      <c r="I39" s="3" t="s">
        <v>182</v>
      </c>
    </row>
    <row r="40" spans="1:9" ht="101.5" x14ac:dyDescent="0.35">
      <c r="A40" s="3" t="s">
        <v>9</v>
      </c>
      <c r="B40" s="3" t="s">
        <v>10</v>
      </c>
      <c r="C40" s="3" t="s">
        <v>9</v>
      </c>
      <c r="D40" s="3" t="s">
        <v>143</v>
      </c>
      <c r="E40" s="3" t="s">
        <v>144</v>
      </c>
      <c r="F40" s="3" t="s">
        <v>13</v>
      </c>
      <c r="G40" s="3">
        <v>200</v>
      </c>
      <c r="H40" s="3" t="s">
        <v>104</v>
      </c>
      <c r="I40" s="4" t="s">
        <v>183</v>
      </c>
    </row>
    <row r="41" spans="1:9" x14ac:dyDescent="0.35">
      <c r="A41" s="3" t="s">
        <v>9</v>
      </c>
      <c r="B41" s="3" t="s">
        <v>10</v>
      </c>
      <c r="C41" s="3" t="s">
        <v>9</v>
      </c>
      <c r="D41" s="3" t="s">
        <v>145</v>
      </c>
      <c r="E41" s="3" t="s">
        <v>146</v>
      </c>
      <c r="F41" s="3" t="s">
        <v>57</v>
      </c>
      <c r="G41" s="3">
        <v>8</v>
      </c>
      <c r="H41" s="3" t="s">
        <v>104</v>
      </c>
      <c r="I41" s="3" t="s">
        <v>147</v>
      </c>
    </row>
    <row r="42" spans="1:9" ht="58" x14ac:dyDescent="0.35">
      <c r="A42" s="3" t="s">
        <v>9</v>
      </c>
      <c r="B42" s="3" t="s">
        <v>10</v>
      </c>
      <c r="C42" s="3" t="s">
        <v>9</v>
      </c>
      <c r="D42" s="3" t="s">
        <v>148</v>
      </c>
      <c r="E42" s="3" t="s">
        <v>149</v>
      </c>
      <c r="F42" s="3" t="s">
        <v>13</v>
      </c>
      <c r="G42" s="3">
        <v>200</v>
      </c>
      <c r="H42" s="3" t="s">
        <v>104</v>
      </c>
      <c r="I42" s="4" t="s">
        <v>150</v>
      </c>
    </row>
    <row r="43" spans="1:9" x14ac:dyDescent="0.35">
      <c r="A43" s="3" t="s">
        <v>9</v>
      </c>
      <c r="B43" s="3" t="s">
        <v>10</v>
      </c>
      <c r="C43" s="3" t="s">
        <v>9</v>
      </c>
      <c r="D43" s="3" t="s">
        <v>151</v>
      </c>
      <c r="E43" s="3" t="s">
        <v>152</v>
      </c>
      <c r="F43" s="3" t="s">
        <v>13</v>
      </c>
      <c r="G43" s="3">
        <v>200</v>
      </c>
      <c r="H43" s="3" t="s">
        <v>104</v>
      </c>
      <c r="I43" s="3" t="s">
        <v>153</v>
      </c>
    </row>
    <row r="44" spans="1:9" x14ac:dyDescent="0.35">
      <c r="A44" s="3" t="s">
        <v>9</v>
      </c>
      <c r="B44" s="3" t="s">
        <v>10</v>
      </c>
      <c r="C44" s="3" t="s">
        <v>9</v>
      </c>
      <c r="D44" s="3" t="s">
        <v>154</v>
      </c>
      <c r="E44" s="3" t="s">
        <v>155</v>
      </c>
      <c r="F44" s="3" t="s">
        <v>57</v>
      </c>
      <c r="G44" s="3">
        <v>8</v>
      </c>
      <c r="H44" s="3" t="s">
        <v>104</v>
      </c>
      <c r="I44" s="3" t="s">
        <v>156</v>
      </c>
    </row>
    <row r="45" spans="1:9" x14ac:dyDescent="0.35">
      <c r="A45" s="3" t="s">
        <v>9</v>
      </c>
      <c r="B45" s="3" t="s">
        <v>10</v>
      </c>
      <c r="C45" s="3" t="s">
        <v>9</v>
      </c>
      <c r="D45" s="3" t="s">
        <v>157</v>
      </c>
      <c r="E45" s="3" t="s">
        <v>158</v>
      </c>
      <c r="F45" s="3" t="s">
        <v>57</v>
      </c>
      <c r="G45" s="3">
        <v>8</v>
      </c>
      <c r="H45" s="3" t="s">
        <v>104</v>
      </c>
      <c r="I45" s="3" t="s">
        <v>159</v>
      </c>
    </row>
    <row r="46" spans="1:9" x14ac:dyDescent="0.35">
      <c r="A46" s="3" t="s">
        <v>9</v>
      </c>
      <c r="B46" s="3" t="s">
        <v>10</v>
      </c>
      <c r="C46" s="3" t="s">
        <v>9</v>
      </c>
      <c r="D46" s="3" t="s">
        <v>160</v>
      </c>
      <c r="E46" s="3" t="s">
        <v>161</v>
      </c>
      <c r="F46" s="3" t="s">
        <v>57</v>
      </c>
      <c r="G46" s="3">
        <v>8</v>
      </c>
      <c r="H46" s="3" t="s">
        <v>104</v>
      </c>
      <c r="I46" s="3" t="s">
        <v>162</v>
      </c>
    </row>
    <row r="47" spans="1:9" x14ac:dyDescent="0.35">
      <c r="A47" s="3" t="s">
        <v>9</v>
      </c>
      <c r="B47" s="3" t="s">
        <v>10</v>
      </c>
      <c r="C47" s="3" t="s">
        <v>9</v>
      </c>
      <c r="D47" s="3" t="s">
        <v>163</v>
      </c>
      <c r="E47" s="3" t="s">
        <v>164</v>
      </c>
      <c r="F47" s="3" t="s">
        <v>57</v>
      </c>
      <c r="G47" s="3">
        <v>8</v>
      </c>
      <c r="H47" s="3" t="s">
        <v>104</v>
      </c>
      <c r="I47" s="3" t="s">
        <v>165</v>
      </c>
    </row>
    <row r="48" spans="1:9" x14ac:dyDescent="0.35">
      <c r="A48" s="3" t="s">
        <v>9</v>
      </c>
      <c r="B48" s="3" t="s">
        <v>10</v>
      </c>
      <c r="C48" s="3" t="s">
        <v>9</v>
      </c>
      <c r="D48" s="3" t="s">
        <v>166</v>
      </c>
      <c r="E48" s="3" t="s">
        <v>167</v>
      </c>
      <c r="F48" s="3" t="s">
        <v>13</v>
      </c>
      <c r="G48" s="3">
        <v>200</v>
      </c>
      <c r="H48" s="3" t="s">
        <v>104</v>
      </c>
      <c r="I48" s="3" t="s">
        <v>168</v>
      </c>
    </row>
    <row r="49" spans="1:9" x14ac:dyDescent="0.35">
      <c r="A49" s="3" t="s">
        <v>9</v>
      </c>
      <c r="B49" s="3" t="s">
        <v>10</v>
      </c>
      <c r="C49" s="3" t="s">
        <v>9</v>
      </c>
      <c r="D49" s="3" t="s">
        <v>169</v>
      </c>
      <c r="E49" s="3" t="s">
        <v>170</v>
      </c>
      <c r="F49" s="3" t="s">
        <v>57</v>
      </c>
      <c r="G49" s="3">
        <v>8</v>
      </c>
      <c r="H49" s="3" t="s">
        <v>104</v>
      </c>
      <c r="I49" s="3" t="s">
        <v>171</v>
      </c>
    </row>
    <row r="50" spans="1:9" x14ac:dyDescent="0.35">
      <c r="A50" t="s">
        <v>9</v>
      </c>
      <c r="B50" t="s">
        <v>10</v>
      </c>
      <c r="C50" t="s">
        <v>9</v>
      </c>
      <c r="D50" t="s">
        <v>172</v>
      </c>
      <c r="E50" t="s">
        <v>173</v>
      </c>
      <c r="F50" t="s">
        <v>13</v>
      </c>
      <c r="G50">
        <v>200</v>
      </c>
      <c r="H50" t="s">
        <v>104</v>
      </c>
      <c r="I50" t="s">
        <v>180</v>
      </c>
    </row>
    <row r="51" spans="1:9" x14ac:dyDescent="0.35">
      <c r="A51" t="s">
        <v>9</v>
      </c>
      <c r="B51" t="s">
        <v>10</v>
      </c>
      <c r="C51" t="s">
        <v>9</v>
      </c>
      <c r="D51" t="s">
        <v>174</v>
      </c>
      <c r="E51" t="s">
        <v>175</v>
      </c>
      <c r="F51" t="s">
        <v>13</v>
      </c>
      <c r="G51">
        <v>200</v>
      </c>
      <c r="H51" t="s">
        <v>104</v>
      </c>
      <c r="I51" t="s">
        <v>181</v>
      </c>
    </row>
    <row r="52" spans="1:9" x14ac:dyDescent="0.35">
      <c r="A52" t="s">
        <v>9</v>
      </c>
      <c r="B52" t="s">
        <v>10</v>
      </c>
      <c r="C52" t="s">
        <v>9</v>
      </c>
      <c r="D52" t="s">
        <v>177</v>
      </c>
      <c r="E52" t="s">
        <v>178</v>
      </c>
      <c r="F52" t="s">
        <v>13</v>
      </c>
      <c r="G52">
        <v>200</v>
      </c>
      <c r="H52" t="s">
        <v>104</v>
      </c>
      <c r="I52" t="s">
        <v>179</v>
      </c>
    </row>
    <row r="53" spans="1:9" x14ac:dyDescent="0.35">
      <c r="A53" t="s">
        <v>9</v>
      </c>
      <c r="B53" t="s">
        <v>10</v>
      </c>
      <c r="C53" t="s">
        <v>9</v>
      </c>
      <c r="D53" t="s">
        <v>62</v>
      </c>
      <c r="E53" t="s">
        <v>63</v>
      </c>
      <c r="F53" t="s">
        <v>13</v>
      </c>
      <c r="G53">
        <v>40</v>
      </c>
      <c r="H53" t="s">
        <v>64</v>
      </c>
      <c r="I53" t="s">
        <v>65</v>
      </c>
    </row>
    <row r="54" spans="1:9" x14ac:dyDescent="0.35">
      <c r="A54" t="s">
        <v>9</v>
      </c>
      <c r="B54" t="s">
        <v>10</v>
      </c>
      <c r="C54" t="s">
        <v>9</v>
      </c>
      <c r="D54" t="s">
        <v>69</v>
      </c>
      <c r="E54" t="s">
        <v>70</v>
      </c>
      <c r="F54" t="s">
        <v>57</v>
      </c>
      <c r="G54">
        <v>8</v>
      </c>
      <c r="H54" t="s">
        <v>64</v>
      </c>
      <c r="I54" t="s">
        <v>71</v>
      </c>
    </row>
    <row r="55" spans="1:9" ht="101.5" x14ac:dyDescent="0.35">
      <c r="A55" t="s">
        <v>9</v>
      </c>
      <c r="B55" t="s">
        <v>10</v>
      </c>
      <c r="C55" t="s">
        <v>9</v>
      </c>
      <c r="D55" t="s">
        <v>75</v>
      </c>
      <c r="E55" t="s">
        <v>76</v>
      </c>
      <c r="F55" t="s">
        <v>57</v>
      </c>
      <c r="G55">
        <v>8</v>
      </c>
      <c r="H55" t="s">
        <v>64</v>
      </c>
      <c r="I55" s="2" t="s">
        <v>77</v>
      </c>
    </row>
    <row r="56" spans="1:9" x14ac:dyDescent="0.35">
      <c r="A56" t="s">
        <v>9</v>
      </c>
      <c r="B56" t="s">
        <v>10</v>
      </c>
      <c r="C56" t="s">
        <v>9</v>
      </c>
      <c r="D56" t="s">
        <v>81</v>
      </c>
      <c r="E56" t="s">
        <v>82</v>
      </c>
      <c r="F56" t="s">
        <v>57</v>
      </c>
      <c r="G56">
        <v>8</v>
      </c>
      <c r="H56" t="s">
        <v>64</v>
      </c>
      <c r="I56" t="s">
        <v>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>
      <selection activeCell="B1" sqref="B1:B55"/>
    </sheetView>
  </sheetViews>
  <sheetFormatPr defaultRowHeight="14.5" x14ac:dyDescent="0.35"/>
  <cols>
    <col min="1" max="1" width="10.54296875" customWidth="1"/>
  </cols>
  <sheetData>
    <row r="1" spans="1:2" x14ac:dyDescent="0.35">
      <c r="A1" t="s">
        <v>11</v>
      </c>
      <c r="B1" t="str">
        <f>_xlfn.CONCAT(A1,",")</f>
        <v>STUDYID,</v>
      </c>
    </row>
    <row r="2" spans="1:2" x14ac:dyDescent="0.35">
      <c r="A2" t="s">
        <v>17</v>
      </c>
      <c r="B2" t="str">
        <f t="shared" ref="B2:B55" si="0">_xlfn.CONCAT(A2,",")</f>
        <v>USUBJID,</v>
      </c>
    </row>
    <row r="3" spans="1:2" x14ac:dyDescent="0.35">
      <c r="A3" t="s">
        <v>20</v>
      </c>
      <c r="B3" t="str">
        <f t="shared" si="0"/>
        <v>SUBJID,</v>
      </c>
    </row>
    <row r="4" spans="1:2" x14ac:dyDescent="0.35">
      <c r="A4" t="s">
        <v>23</v>
      </c>
      <c r="B4" t="str">
        <f t="shared" si="0"/>
        <v>RFSTDTC,</v>
      </c>
    </row>
    <row r="5" spans="1:2" x14ac:dyDescent="0.35">
      <c r="A5" t="s">
        <v>27</v>
      </c>
      <c r="B5" t="str">
        <f t="shared" si="0"/>
        <v>RFENDTC,</v>
      </c>
    </row>
    <row r="6" spans="1:2" x14ac:dyDescent="0.35">
      <c r="A6" t="s">
        <v>30</v>
      </c>
      <c r="B6" t="str">
        <f t="shared" si="0"/>
        <v>RFXSTDTC,</v>
      </c>
    </row>
    <row r="7" spans="1:2" x14ac:dyDescent="0.35">
      <c r="A7" t="s">
        <v>33</v>
      </c>
      <c r="B7" t="str">
        <f t="shared" si="0"/>
        <v>RFXENDTC,</v>
      </c>
    </row>
    <row r="8" spans="1:2" x14ac:dyDescent="0.35">
      <c r="A8" t="s">
        <v>36</v>
      </c>
      <c r="B8" t="str">
        <f t="shared" si="0"/>
        <v>RFICDTC,</v>
      </c>
    </row>
    <row r="9" spans="1:2" x14ac:dyDescent="0.35">
      <c r="A9" t="s">
        <v>39</v>
      </c>
      <c r="B9" t="str">
        <f t="shared" si="0"/>
        <v>RFPENDTC,</v>
      </c>
    </row>
    <row r="10" spans="1:2" x14ac:dyDescent="0.35">
      <c r="A10" t="s">
        <v>42</v>
      </c>
      <c r="B10" t="str">
        <f t="shared" si="0"/>
        <v>DTHDTC,</v>
      </c>
    </row>
    <row r="11" spans="1:2" x14ac:dyDescent="0.35">
      <c r="A11" t="s">
        <v>45</v>
      </c>
      <c r="B11" t="str">
        <f t="shared" si="0"/>
        <v>DTHFL,</v>
      </c>
    </row>
    <row r="12" spans="1:2" x14ac:dyDescent="0.35">
      <c r="A12" t="s">
        <v>49</v>
      </c>
      <c r="B12" t="str">
        <f t="shared" si="0"/>
        <v>SITEID,</v>
      </c>
    </row>
    <row r="13" spans="1:2" x14ac:dyDescent="0.35">
      <c r="A13" t="s">
        <v>52</v>
      </c>
      <c r="B13" t="str">
        <f t="shared" si="0"/>
        <v>BRTHDTC,</v>
      </c>
    </row>
    <row r="14" spans="1:2" x14ac:dyDescent="0.35">
      <c r="A14" t="s">
        <v>55</v>
      </c>
      <c r="B14" t="str">
        <f t="shared" si="0"/>
        <v>AGE,</v>
      </c>
    </row>
    <row r="15" spans="1:2" x14ac:dyDescent="0.35">
      <c r="A15" t="s">
        <v>59</v>
      </c>
      <c r="B15" t="str">
        <f t="shared" si="0"/>
        <v>AGEU,</v>
      </c>
    </row>
    <row r="16" spans="1:2" x14ac:dyDescent="0.35">
      <c r="A16" t="s">
        <v>66</v>
      </c>
      <c r="B16" t="str">
        <f t="shared" si="0"/>
        <v>SEX,</v>
      </c>
    </row>
    <row r="17" spans="1:2" x14ac:dyDescent="0.35">
      <c r="A17" t="s">
        <v>72</v>
      </c>
      <c r="B17" t="str">
        <f t="shared" si="0"/>
        <v>RACE,</v>
      </c>
    </row>
    <row r="18" spans="1:2" x14ac:dyDescent="0.35">
      <c r="A18" t="s">
        <v>78</v>
      </c>
      <c r="B18" t="str">
        <f t="shared" si="0"/>
        <v>ETHNIC,</v>
      </c>
    </row>
    <row r="19" spans="1:2" x14ac:dyDescent="0.35">
      <c r="A19" t="s">
        <v>84</v>
      </c>
      <c r="B19" t="str">
        <f t="shared" si="0"/>
        <v>ARMCD,</v>
      </c>
    </row>
    <row r="20" spans="1:2" x14ac:dyDescent="0.35">
      <c r="A20" t="s">
        <v>88</v>
      </c>
      <c r="B20" t="str">
        <f t="shared" si="0"/>
        <v>ARM,</v>
      </c>
    </row>
    <row r="21" spans="1:2" x14ac:dyDescent="0.35">
      <c r="A21" t="s">
        <v>90</v>
      </c>
      <c r="B21" t="str">
        <f t="shared" si="0"/>
        <v>ACTARMCD,</v>
      </c>
    </row>
    <row r="22" spans="1:2" x14ac:dyDescent="0.35">
      <c r="A22" t="s">
        <v>93</v>
      </c>
      <c r="B22" t="str">
        <f t="shared" si="0"/>
        <v>ACTARM,</v>
      </c>
    </row>
    <row r="23" spans="1:2" x14ac:dyDescent="0.35">
      <c r="A23" t="s">
        <v>96</v>
      </c>
      <c r="B23" t="str">
        <f t="shared" si="0"/>
        <v>COUNTRY,</v>
      </c>
    </row>
    <row r="24" spans="1:2" x14ac:dyDescent="0.35">
      <c r="A24" s="3" t="s">
        <v>99</v>
      </c>
      <c r="B24" t="str">
        <f t="shared" si="0"/>
        <v>RANDFL,</v>
      </c>
    </row>
    <row r="25" spans="1:2" x14ac:dyDescent="0.35">
      <c r="A25" s="3" t="s">
        <v>102</v>
      </c>
      <c r="B25" t="str">
        <f t="shared" si="0"/>
        <v>RANDDT,</v>
      </c>
    </row>
    <row r="26" spans="1:2" x14ac:dyDescent="0.35">
      <c r="A26" s="3" t="s">
        <v>106</v>
      </c>
      <c r="B26" t="str">
        <f t="shared" si="0"/>
        <v>SCRNFL,</v>
      </c>
    </row>
    <row r="27" spans="1:2" x14ac:dyDescent="0.35">
      <c r="A27" s="3" t="s">
        <v>109</v>
      </c>
      <c r="B27" t="str">
        <f t="shared" si="0"/>
        <v>SAFFL,</v>
      </c>
    </row>
    <row r="28" spans="1:2" x14ac:dyDescent="0.35">
      <c r="A28" s="3" t="s">
        <v>112</v>
      </c>
      <c r="B28" t="str">
        <f t="shared" si="0"/>
        <v>ITTFL,</v>
      </c>
    </row>
    <row r="29" spans="1:2" x14ac:dyDescent="0.35">
      <c r="A29" s="3" t="s">
        <v>115</v>
      </c>
      <c r="B29" t="str">
        <f t="shared" si="0"/>
        <v>PPROTFL,</v>
      </c>
    </row>
    <row r="30" spans="1:2" x14ac:dyDescent="0.35">
      <c r="A30" s="3" t="s">
        <v>118</v>
      </c>
      <c r="B30" t="str">
        <f t="shared" si="0"/>
        <v>TRT01P,</v>
      </c>
    </row>
    <row r="31" spans="1:2" x14ac:dyDescent="0.35">
      <c r="A31" s="3" t="s">
        <v>121</v>
      </c>
      <c r="B31" t="str">
        <f t="shared" si="0"/>
        <v>TRT01PN,</v>
      </c>
    </row>
    <row r="32" spans="1:2" x14ac:dyDescent="0.35">
      <c r="A32" s="3" t="s">
        <v>124</v>
      </c>
      <c r="B32" t="str">
        <f t="shared" si="0"/>
        <v>TRT01A,</v>
      </c>
    </row>
    <row r="33" spans="1:2" x14ac:dyDescent="0.35">
      <c r="A33" s="3" t="s">
        <v>127</v>
      </c>
      <c r="B33" t="str">
        <f t="shared" si="0"/>
        <v>TRT01AN,</v>
      </c>
    </row>
    <row r="34" spans="1:2" x14ac:dyDescent="0.35">
      <c r="A34" s="3" t="s">
        <v>130</v>
      </c>
      <c r="B34" t="str">
        <f t="shared" si="0"/>
        <v>TRTSDTM,</v>
      </c>
    </row>
    <row r="35" spans="1:2" x14ac:dyDescent="0.35">
      <c r="A35" s="3" t="s">
        <v>133</v>
      </c>
      <c r="B35" t="str">
        <f t="shared" si="0"/>
        <v>TRTSDT,</v>
      </c>
    </row>
    <row r="36" spans="1:2" x14ac:dyDescent="0.35">
      <c r="A36" s="3" t="s">
        <v>136</v>
      </c>
      <c r="B36" t="str">
        <f t="shared" si="0"/>
        <v>TRTEDTM,</v>
      </c>
    </row>
    <row r="37" spans="1:2" x14ac:dyDescent="0.35">
      <c r="A37" s="3" t="s">
        <v>139</v>
      </c>
      <c r="B37" t="str">
        <f t="shared" si="0"/>
        <v>TRTEDT,</v>
      </c>
    </row>
    <row r="38" spans="1:2" x14ac:dyDescent="0.35">
      <c r="A38" s="3" t="s">
        <v>141</v>
      </c>
      <c r="B38" t="str">
        <f t="shared" si="0"/>
        <v>TRTDURD,</v>
      </c>
    </row>
    <row r="39" spans="1:2" x14ac:dyDescent="0.35">
      <c r="A39" s="3" t="s">
        <v>143</v>
      </c>
      <c r="B39" t="str">
        <f t="shared" si="0"/>
        <v>EOSSTT,</v>
      </c>
    </row>
    <row r="40" spans="1:2" x14ac:dyDescent="0.35">
      <c r="A40" s="3" t="s">
        <v>145</v>
      </c>
      <c r="B40" t="str">
        <f t="shared" si="0"/>
        <v>EOSDT,</v>
      </c>
    </row>
    <row r="41" spans="1:2" x14ac:dyDescent="0.35">
      <c r="A41" s="3" t="s">
        <v>148</v>
      </c>
      <c r="B41" t="str">
        <f t="shared" si="0"/>
        <v>DCSREAS,</v>
      </c>
    </row>
    <row r="42" spans="1:2" x14ac:dyDescent="0.35">
      <c r="A42" s="3" t="s">
        <v>151</v>
      </c>
      <c r="B42" t="str">
        <f t="shared" si="0"/>
        <v>DCSREASP,</v>
      </c>
    </row>
    <row r="43" spans="1:2" x14ac:dyDescent="0.35">
      <c r="A43" s="3" t="s">
        <v>154</v>
      </c>
      <c r="B43" t="str">
        <f t="shared" si="0"/>
        <v>BBMISI,</v>
      </c>
    </row>
    <row r="44" spans="1:2" x14ac:dyDescent="0.35">
      <c r="A44" s="3" t="s">
        <v>157</v>
      </c>
      <c r="B44" t="str">
        <f t="shared" si="0"/>
        <v>BHGHTSI,</v>
      </c>
    </row>
    <row r="45" spans="1:2" x14ac:dyDescent="0.35">
      <c r="A45" s="3" t="s">
        <v>160</v>
      </c>
      <c r="B45" t="str">
        <f t="shared" si="0"/>
        <v>BWGHTSI,</v>
      </c>
    </row>
    <row r="46" spans="1:2" x14ac:dyDescent="0.35">
      <c r="A46" s="3" t="s">
        <v>163</v>
      </c>
      <c r="B46" t="str">
        <f t="shared" si="0"/>
        <v>MFUV,</v>
      </c>
    </row>
    <row r="47" spans="1:2" x14ac:dyDescent="0.35">
      <c r="A47" s="3" t="s">
        <v>166</v>
      </c>
      <c r="B47" t="str">
        <f t="shared" si="0"/>
        <v>VCYN,</v>
      </c>
    </row>
    <row r="48" spans="1:2" x14ac:dyDescent="0.35">
      <c r="A48" s="3" t="s">
        <v>169</v>
      </c>
      <c r="B48" t="str">
        <f t="shared" si="0"/>
        <v>VCNUM,</v>
      </c>
    </row>
    <row r="49" spans="1:2" x14ac:dyDescent="0.35">
      <c r="A49" t="s">
        <v>172</v>
      </c>
      <c r="B49" t="str">
        <f t="shared" si="0"/>
        <v>COVD14FL,</v>
      </c>
    </row>
    <row r="50" spans="1:2" x14ac:dyDescent="0.35">
      <c r="A50" t="s">
        <v>174</v>
      </c>
      <c r="B50" t="str">
        <f t="shared" si="0"/>
        <v>COVD28FL,</v>
      </c>
    </row>
    <row r="51" spans="1:2" x14ac:dyDescent="0.35">
      <c r="A51" t="s">
        <v>177</v>
      </c>
      <c r="B51" t="str">
        <f t="shared" si="0"/>
        <v>HOSPCOFL,</v>
      </c>
    </row>
    <row r="52" spans="1:2" x14ac:dyDescent="0.35">
      <c r="A52" t="s">
        <v>62</v>
      </c>
      <c r="B52" t="str">
        <f t="shared" si="0"/>
        <v>AGEGR1,</v>
      </c>
    </row>
    <row r="53" spans="1:2" x14ac:dyDescent="0.35">
      <c r="A53" t="s">
        <v>69</v>
      </c>
      <c r="B53" t="str">
        <f t="shared" si="0"/>
        <v>SEXN,</v>
      </c>
    </row>
    <row r="54" spans="1:2" x14ac:dyDescent="0.35">
      <c r="A54" t="s">
        <v>75</v>
      </c>
      <c r="B54" t="str">
        <f t="shared" si="0"/>
        <v>RACEN,</v>
      </c>
    </row>
    <row r="55" spans="1:2" x14ac:dyDescent="0.35">
      <c r="A55" t="s">
        <v>81</v>
      </c>
      <c r="B55" t="str">
        <f t="shared" si="0"/>
        <v>ETHNICN,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D0A0-82ED-48FD-B2FE-586C9F1C4199}">
  <dimension ref="A1:C55"/>
  <sheetViews>
    <sheetView topLeftCell="A26" workbookViewId="0">
      <selection activeCell="C1" sqref="C1:C55"/>
    </sheetView>
  </sheetViews>
  <sheetFormatPr defaultRowHeight="14.5" x14ac:dyDescent="0.35"/>
  <cols>
    <col min="1" max="1" width="10.453125" bestFit="1" customWidth="1"/>
    <col min="2" max="2" width="34.7265625" bestFit="1" customWidth="1"/>
    <col min="3" max="3" width="23.453125" bestFit="1" customWidth="1"/>
  </cols>
  <sheetData>
    <row r="1" spans="1:3" x14ac:dyDescent="0.35">
      <c r="A1" t="s">
        <v>11</v>
      </c>
      <c r="B1" t="s">
        <v>12</v>
      </c>
      <c r="C1" t="str">
        <f>_xlfn.CONCAT(A1,"=","'",B1,"'",",")</f>
        <v>STUDYID='Study Identifier',</v>
      </c>
    </row>
    <row r="2" spans="1:3" x14ac:dyDescent="0.35">
      <c r="A2" t="s">
        <v>17</v>
      </c>
      <c r="B2" t="s">
        <v>18</v>
      </c>
      <c r="C2" t="str">
        <f t="shared" ref="C2:C55" si="0">_xlfn.CONCAT(A2,"=","'",B2,"'",",")</f>
        <v>USUBJID='Unique Subject Identifier',</v>
      </c>
    </row>
    <row r="3" spans="1:3" x14ac:dyDescent="0.35">
      <c r="A3" t="s">
        <v>20</v>
      </c>
      <c r="B3" t="s">
        <v>21</v>
      </c>
      <c r="C3" t="str">
        <f t="shared" si="0"/>
        <v>SUBJID='Subject Identifier for the Study',</v>
      </c>
    </row>
    <row r="4" spans="1:3" x14ac:dyDescent="0.35">
      <c r="A4" t="s">
        <v>23</v>
      </c>
      <c r="B4" t="s">
        <v>24</v>
      </c>
      <c r="C4" t="str">
        <f t="shared" si="0"/>
        <v>RFSTDTC='Subject Reference Start Date/Time',</v>
      </c>
    </row>
    <row r="5" spans="1:3" x14ac:dyDescent="0.35">
      <c r="A5" t="s">
        <v>27</v>
      </c>
      <c r="B5" t="s">
        <v>28</v>
      </c>
      <c r="C5" t="str">
        <f t="shared" si="0"/>
        <v>RFENDTC='Subject Reference End Date/Time',</v>
      </c>
    </row>
    <row r="6" spans="1:3" x14ac:dyDescent="0.35">
      <c r="A6" t="s">
        <v>30</v>
      </c>
      <c r="B6" t="s">
        <v>31</v>
      </c>
      <c r="C6" t="str">
        <f t="shared" si="0"/>
        <v>RFXSTDTC='Date/Time of First Study Treatment',</v>
      </c>
    </row>
    <row r="7" spans="1:3" x14ac:dyDescent="0.35">
      <c r="A7" t="s">
        <v>33</v>
      </c>
      <c r="B7" t="s">
        <v>34</v>
      </c>
      <c r="C7" t="str">
        <f t="shared" si="0"/>
        <v>RFXENDTC='Date/Time of Last Study Treatment',</v>
      </c>
    </row>
    <row r="8" spans="1:3" x14ac:dyDescent="0.35">
      <c r="A8" t="s">
        <v>36</v>
      </c>
      <c r="B8" t="s">
        <v>37</v>
      </c>
      <c r="C8" t="str">
        <f t="shared" si="0"/>
        <v>RFICDTC='Date/Time of Informed Consent',</v>
      </c>
    </row>
    <row r="9" spans="1:3" x14ac:dyDescent="0.35">
      <c r="A9" t="s">
        <v>39</v>
      </c>
      <c r="B9" t="s">
        <v>40</v>
      </c>
      <c r="C9" t="str">
        <f t="shared" si="0"/>
        <v>RFPENDTC='Date/Time of End of Participation',</v>
      </c>
    </row>
    <row r="10" spans="1:3" x14ac:dyDescent="0.35">
      <c r="A10" t="s">
        <v>42</v>
      </c>
      <c r="B10" t="s">
        <v>43</v>
      </c>
      <c r="C10" t="str">
        <f t="shared" si="0"/>
        <v>DTHDTC='Date/Time of Death',</v>
      </c>
    </row>
    <row r="11" spans="1:3" x14ac:dyDescent="0.35">
      <c r="A11" t="s">
        <v>45</v>
      </c>
      <c r="B11" t="s">
        <v>46</v>
      </c>
      <c r="C11" t="str">
        <f t="shared" si="0"/>
        <v>DTHFL='Subject Death Flag',</v>
      </c>
    </row>
    <row r="12" spans="1:3" x14ac:dyDescent="0.35">
      <c r="A12" t="s">
        <v>49</v>
      </c>
      <c r="B12" t="s">
        <v>50</v>
      </c>
      <c r="C12" t="str">
        <f t="shared" si="0"/>
        <v>SITEID='Study Site Identifier',</v>
      </c>
    </row>
    <row r="13" spans="1:3" x14ac:dyDescent="0.35">
      <c r="A13" t="s">
        <v>52</v>
      </c>
      <c r="B13" t="s">
        <v>53</v>
      </c>
      <c r="C13" t="str">
        <f t="shared" si="0"/>
        <v>BRTHDTC='Date/Time of Birth',</v>
      </c>
    </row>
    <row r="14" spans="1:3" x14ac:dyDescent="0.35">
      <c r="A14" t="s">
        <v>55</v>
      </c>
      <c r="B14" t="s">
        <v>56</v>
      </c>
      <c r="C14" t="str">
        <f t="shared" si="0"/>
        <v>AGE='Age',</v>
      </c>
    </row>
    <row r="15" spans="1:3" x14ac:dyDescent="0.35">
      <c r="A15" t="s">
        <v>59</v>
      </c>
      <c r="B15" t="s">
        <v>60</v>
      </c>
      <c r="C15" t="str">
        <f t="shared" si="0"/>
        <v>AGEU='Age Units',</v>
      </c>
    </row>
    <row r="16" spans="1:3" x14ac:dyDescent="0.35">
      <c r="A16" t="s">
        <v>66</v>
      </c>
      <c r="B16" t="s">
        <v>67</v>
      </c>
      <c r="C16" t="str">
        <f t="shared" si="0"/>
        <v>SEX='Sex',</v>
      </c>
    </row>
    <row r="17" spans="1:3" x14ac:dyDescent="0.35">
      <c r="A17" t="s">
        <v>72</v>
      </c>
      <c r="B17" t="s">
        <v>73</v>
      </c>
      <c r="C17" t="str">
        <f t="shared" si="0"/>
        <v>RACE='Race',</v>
      </c>
    </row>
    <row r="18" spans="1:3" x14ac:dyDescent="0.35">
      <c r="A18" t="s">
        <v>78</v>
      </c>
      <c r="B18" t="s">
        <v>79</v>
      </c>
      <c r="C18" t="str">
        <f t="shared" si="0"/>
        <v>ETHNIC='Ethnicity',</v>
      </c>
    </row>
    <row r="19" spans="1:3" x14ac:dyDescent="0.35">
      <c r="A19" t="s">
        <v>84</v>
      </c>
      <c r="B19" t="s">
        <v>85</v>
      </c>
      <c r="C19" t="str">
        <f t="shared" si="0"/>
        <v>ARMCD='Planned Arm Code',</v>
      </c>
    </row>
    <row r="20" spans="1:3" x14ac:dyDescent="0.35">
      <c r="A20" t="s">
        <v>88</v>
      </c>
      <c r="B20" t="s">
        <v>86</v>
      </c>
      <c r="C20" t="str">
        <f t="shared" si="0"/>
        <v>ARM='Description of Planned Arm',</v>
      </c>
    </row>
    <row r="21" spans="1:3" x14ac:dyDescent="0.35">
      <c r="A21" t="s">
        <v>90</v>
      </c>
      <c r="B21" t="s">
        <v>91</v>
      </c>
      <c r="C21" t="str">
        <f t="shared" si="0"/>
        <v>ACTARMCD='Actual Arm Code',</v>
      </c>
    </row>
    <row r="22" spans="1:3" x14ac:dyDescent="0.35">
      <c r="A22" t="s">
        <v>93</v>
      </c>
      <c r="B22" t="s">
        <v>94</v>
      </c>
      <c r="C22" t="str">
        <f t="shared" si="0"/>
        <v>ACTARM='Description of Actual Arm',</v>
      </c>
    </row>
    <row r="23" spans="1:3" x14ac:dyDescent="0.35">
      <c r="A23" t="s">
        <v>96</v>
      </c>
      <c r="B23" t="s">
        <v>97</v>
      </c>
      <c r="C23" t="str">
        <f t="shared" si="0"/>
        <v>COUNTRY='Country',</v>
      </c>
    </row>
    <row r="24" spans="1:3" x14ac:dyDescent="0.35">
      <c r="A24" s="3" t="s">
        <v>99</v>
      </c>
      <c r="B24" s="3" t="s">
        <v>100</v>
      </c>
      <c r="C24" t="str">
        <f t="shared" si="0"/>
        <v>RANDFL='Randomization Flag',</v>
      </c>
    </row>
    <row r="25" spans="1:3" x14ac:dyDescent="0.35">
      <c r="A25" s="3" t="s">
        <v>102</v>
      </c>
      <c r="B25" s="3" t="s">
        <v>103</v>
      </c>
      <c r="C25" t="str">
        <f t="shared" si="0"/>
        <v>RANDDT='Date of Randomization',</v>
      </c>
    </row>
    <row r="26" spans="1:3" x14ac:dyDescent="0.35">
      <c r="A26" s="3" t="s">
        <v>106</v>
      </c>
      <c r="B26" s="3" t="s">
        <v>107</v>
      </c>
      <c r="C26" t="str">
        <f t="shared" si="0"/>
        <v>SCRNFL='Screened Population Flag',</v>
      </c>
    </row>
    <row r="27" spans="1:3" x14ac:dyDescent="0.35">
      <c r="A27" s="3" t="s">
        <v>109</v>
      </c>
      <c r="B27" s="3" t="s">
        <v>110</v>
      </c>
      <c r="C27" t="str">
        <f t="shared" si="0"/>
        <v>SAFFL='Safety Population Flag',</v>
      </c>
    </row>
    <row r="28" spans="1:3" x14ac:dyDescent="0.35">
      <c r="A28" s="3" t="s">
        <v>112</v>
      </c>
      <c r="B28" s="3" t="s">
        <v>113</v>
      </c>
      <c r="C28" t="str">
        <f t="shared" si="0"/>
        <v>ITTFL='Intent-To-Treat Population Flag',</v>
      </c>
    </row>
    <row r="29" spans="1:3" x14ac:dyDescent="0.35">
      <c r="A29" s="3" t="s">
        <v>115</v>
      </c>
      <c r="B29" s="3" t="s">
        <v>116</v>
      </c>
      <c r="C29" t="str">
        <f t="shared" si="0"/>
        <v>PPROTFL='Per-protocol Population Flag',</v>
      </c>
    </row>
    <row r="30" spans="1:3" x14ac:dyDescent="0.35">
      <c r="A30" s="3" t="s">
        <v>118</v>
      </c>
      <c r="B30" s="3" t="s">
        <v>119</v>
      </c>
      <c r="C30" t="str">
        <f t="shared" si="0"/>
        <v>TRT01P='Planned Treatment for Period 01',</v>
      </c>
    </row>
    <row r="31" spans="1:3" x14ac:dyDescent="0.35">
      <c r="A31" s="3" t="s">
        <v>121</v>
      </c>
      <c r="B31" s="3" t="s">
        <v>122</v>
      </c>
      <c r="C31" t="str">
        <f t="shared" si="0"/>
        <v>TRT01PN='Planned Treatment for Period 01 (N)',</v>
      </c>
    </row>
    <row r="32" spans="1:3" x14ac:dyDescent="0.35">
      <c r="A32" s="3" t="s">
        <v>124</v>
      </c>
      <c r="B32" s="3" t="s">
        <v>125</v>
      </c>
      <c r="C32" t="str">
        <f t="shared" si="0"/>
        <v>TRT01A='Actual Treatment for Period 01',</v>
      </c>
    </row>
    <row r="33" spans="1:3" x14ac:dyDescent="0.35">
      <c r="A33" s="3" t="s">
        <v>127</v>
      </c>
      <c r="B33" s="3" t="s">
        <v>128</v>
      </c>
      <c r="C33" t="str">
        <f t="shared" si="0"/>
        <v>TRT01AN='Actual Treatment for Period 01 (N)',</v>
      </c>
    </row>
    <row r="34" spans="1:3" x14ac:dyDescent="0.35">
      <c r="A34" s="3" t="s">
        <v>130</v>
      </c>
      <c r="B34" s="3" t="s">
        <v>131</v>
      </c>
      <c r="C34" t="str">
        <f t="shared" si="0"/>
        <v>TRTSDTM='Datetime of First Exposure to Treatment',</v>
      </c>
    </row>
    <row r="35" spans="1:3" x14ac:dyDescent="0.35">
      <c r="A35" s="3" t="s">
        <v>133</v>
      </c>
      <c r="B35" s="3" t="s">
        <v>134</v>
      </c>
      <c r="C35" t="str">
        <f t="shared" si="0"/>
        <v>TRTSDT='Date of First Exposure to Treatment',</v>
      </c>
    </row>
    <row r="36" spans="1:3" x14ac:dyDescent="0.35">
      <c r="A36" s="3" t="s">
        <v>136</v>
      </c>
      <c r="B36" s="3" t="s">
        <v>137</v>
      </c>
      <c r="C36" t="str">
        <f t="shared" si="0"/>
        <v>TRTEDTM='Datetime of Last Exposure to Treatment',</v>
      </c>
    </row>
    <row r="37" spans="1:3" x14ac:dyDescent="0.35">
      <c r="A37" s="3" t="s">
        <v>139</v>
      </c>
      <c r="B37" s="3" t="s">
        <v>140</v>
      </c>
      <c r="C37" t="str">
        <f t="shared" si="0"/>
        <v>TRTEDT='Date of Last Exposure to Treatment',</v>
      </c>
    </row>
    <row r="38" spans="1:3" x14ac:dyDescent="0.35">
      <c r="A38" s="3" t="s">
        <v>141</v>
      </c>
      <c r="B38" s="3" t="s">
        <v>142</v>
      </c>
      <c r="C38" t="str">
        <f t="shared" si="0"/>
        <v>TRTDURD='Total Treatment Duration (minutes)',</v>
      </c>
    </row>
    <row r="39" spans="1:3" x14ac:dyDescent="0.35">
      <c r="A39" s="3" t="s">
        <v>143</v>
      </c>
      <c r="B39" s="3" t="s">
        <v>144</v>
      </c>
      <c r="C39" t="str">
        <f t="shared" si="0"/>
        <v>EOSSTT='End of Study Status',</v>
      </c>
    </row>
    <row r="40" spans="1:3" x14ac:dyDescent="0.35">
      <c r="A40" s="3" t="s">
        <v>145</v>
      </c>
      <c r="B40" s="3" t="s">
        <v>146</v>
      </c>
      <c r="C40" t="str">
        <f t="shared" si="0"/>
        <v>EOSDT='End of Study Date',</v>
      </c>
    </row>
    <row r="41" spans="1:3" x14ac:dyDescent="0.35">
      <c r="A41" s="3" t="s">
        <v>148</v>
      </c>
      <c r="B41" s="3" t="s">
        <v>149</v>
      </c>
      <c r="C41" t="str">
        <f t="shared" si="0"/>
        <v>DCSREAS='Reason for Discontinuation from Study',</v>
      </c>
    </row>
    <row r="42" spans="1:3" x14ac:dyDescent="0.35">
      <c r="A42" s="3" t="s">
        <v>151</v>
      </c>
      <c r="B42" s="3" t="s">
        <v>152</v>
      </c>
      <c r="C42" t="str">
        <f t="shared" si="0"/>
        <v>DCSREASP='Reason Spec for Discont from Study',</v>
      </c>
    </row>
    <row r="43" spans="1:3" x14ac:dyDescent="0.35">
      <c r="A43" s="3" t="s">
        <v>154</v>
      </c>
      <c r="B43" s="3" t="s">
        <v>155</v>
      </c>
      <c r="C43" t="str">
        <f t="shared" si="0"/>
        <v>BBMISI='Baseline BMI (kg/m2)',</v>
      </c>
    </row>
    <row r="44" spans="1:3" x14ac:dyDescent="0.35">
      <c r="A44" s="3" t="s">
        <v>157</v>
      </c>
      <c r="B44" s="3" t="s">
        <v>158</v>
      </c>
      <c r="C44" t="str">
        <f t="shared" si="0"/>
        <v>BHGHTSI='Baseline Height (cm)',</v>
      </c>
    </row>
    <row r="45" spans="1:3" x14ac:dyDescent="0.35">
      <c r="A45" s="3" t="s">
        <v>160</v>
      </c>
      <c r="B45" s="3" t="s">
        <v>161</v>
      </c>
      <c r="C45" t="str">
        <f t="shared" si="0"/>
        <v>BWGHTSI='Baseline Weight (kg)',</v>
      </c>
    </row>
    <row r="46" spans="1:3" x14ac:dyDescent="0.35">
      <c r="A46" s="3" t="s">
        <v>163</v>
      </c>
      <c r="B46" s="3" t="s">
        <v>164</v>
      </c>
      <c r="C46" t="str">
        <f t="shared" si="0"/>
        <v>MFUV='Medical Follow-up Visit',</v>
      </c>
    </row>
    <row r="47" spans="1:3" x14ac:dyDescent="0.35">
      <c r="A47" s="3" t="s">
        <v>166</v>
      </c>
      <c r="B47" s="3" t="s">
        <v>167</v>
      </c>
      <c r="C47" t="str">
        <f t="shared" si="0"/>
        <v>VCYN='Did the subject get a COVID-19 vaccine?',</v>
      </c>
    </row>
    <row r="48" spans="1:3" x14ac:dyDescent="0.35">
      <c r="A48" s="3" t="s">
        <v>169</v>
      </c>
      <c r="B48" s="3" t="s">
        <v>170</v>
      </c>
      <c r="C48" t="str">
        <f t="shared" si="0"/>
        <v>VCNUM='How many doses?',</v>
      </c>
    </row>
    <row r="49" spans="1:3" x14ac:dyDescent="0.35">
      <c r="A49" t="s">
        <v>172</v>
      </c>
      <c r="B49" t="s">
        <v>173</v>
      </c>
      <c r="C49" t="str">
        <f t="shared" si="0"/>
        <v>COVD14FL='Clinical recovery on Day 14 Flag',</v>
      </c>
    </row>
    <row r="50" spans="1:3" x14ac:dyDescent="0.35">
      <c r="A50" t="s">
        <v>174</v>
      </c>
      <c r="B50" t="s">
        <v>175</v>
      </c>
      <c r="C50" t="str">
        <f t="shared" si="0"/>
        <v>COVD28FL='Clinical recovery on Day 28 Flag',</v>
      </c>
    </row>
    <row r="51" spans="1:3" x14ac:dyDescent="0.35">
      <c r="A51" t="s">
        <v>177</v>
      </c>
      <c r="B51" t="s">
        <v>178</v>
      </c>
      <c r="C51" t="str">
        <f t="shared" si="0"/>
        <v>HOSPCOFL='Hospitalized due to COVID-19',</v>
      </c>
    </row>
    <row r="52" spans="1:3" x14ac:dyDescent="0.35">
      <c r="A52" t="s">
        <v>62</v>
      </c>
      <c r="B52" t="s">
        <v>63</v>
      </c>
      <c r="C52" t="str">
        <f t="shared" si="0"/>
        <v>AGEGR1='Pooled Age Group 1',</v>
      </c>
    </row>
    <row r="53" spans="1:3" x14ac:dyDescent="0.35">
      <c r="A53" t="s">
        <v>69</v>
      </c>
      <c r="B53" t="s">
        <v>70</v>
      </c>
      <c r="C53" t="str">
        <f t="shared" si="0"/>
        <v>SEXN='Sex (N)',</v>
      </c>
    </row>
    <row r="54" spans="1:3" x14ac:dyDescent="0.35">
      <c r="A54" t="s">
        <v>75</v>
      </c>
      <c r="B54" t="s">
        <v>76</v>
      </c>
      <c r="C54" t="str">
        <f t="shared" si="0"/>
        <v>RACEN='Race (N)',</v>
      </c>
    </row>
    <row r="55" spans="1:3" x14ac:dyDescent="0.35">
      <c r="A55" t="s">
        <v>81</v>
      </c>
      <c r="B55" t="s">
        <v>82</v>
      </c>
      <c r="C55" t="str">
        <f t="shared" si="0"/>
        <v>ETHNICN='Ethnicity (N)',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2023-04-23T00:54:47Z</dcterms:modified>
</cp:coreProperties>
</file>