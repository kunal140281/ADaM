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filterPrivacy="1" defaultThemeVersion="124226"/>
  <xr:revisionPtr revIDLastSave="0" documentId="13_ncr:1_{54FBD8E1-A410-4894-BFC2-8EEA82EA75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1" i="3"/>
</calcChain>
</file>

<file path=xl/sharedStrings.xml><?xml version="1.0" encoding="utf-8"?>
<sst xmlns="http://schemas.openxmlformats.org/spreadsheetml/2006/main" count="545" uniqueCount="178">
  <si>
    <t>Dataset</t>
  </si>
  <si>
    <t>Description</t>
  </si>
  <si>
    <t>Class</t>
  </si>
  <si>
    <t>Variable</t>
  </si>
  <si>
    <t>Label</t>
  </si>
  <si>
    <t>Type</t>
  </si>
  <si>
    <t>Length</t>
  </si>
  <si>
    <t>Controlled Terms</t>
  </si>
  <si>
    <t>Display Format</t>
  </si>
  <si>
    <t>SAS Format</t>
  </si>
  <si>
    <t>Source</t>
  </si>
  <si>
    <t>Derivation / Comment</t>
  </si>
  <si>
    <t>Req / Cond / Perm</t>
  </si>
  <si>
    <t>Key</t>
  </si>
  <si>
    <t>Core</t>
  </si>
  <si>
    <t>Extra Derivation Information</t>
  </si>
  <si>
    <t>Supporting Algorithm Information</t>
  </si>
  <si>
    <t>Dependencies</t>
  </si>
  <si>
    <t>ADVS</t>
  </si>
  <si>
    <t>Vital Signs Analysis Dataset</t>
  </si>
  <si>
    <t>BASIC DATA STRUCTURE</t>
  </si>
  <si>
    <t>STUDYID</t>
  </si>
  <si>
    <t>Study Identifier</t>
  </si>
  <si>
    <t>text</t>
  </si>
  <si>
    <t>Predecessor</t>
  </si>
  <si>
    <t>ADSL.STUDYID</t>
  </si>
  <si>
    <t>Req</t>
  </si>
  <si>
    <t>USUBJID</t>
  </si>
  <si>
    <t>Unique Subject Identifier</t>
  </si>
  <si>
    <t>ADSL.USUBJID</t>
  </si>
  <si>
    <t>SUBJID</t>
  </si>
  <si>
    <t>Subject Identifier for the Study</t>
  </si>
  <si>
    <t>ADSL.SUBJID</t>
  </si>
  <si>
    <t>SITEID</t>
  </si>
  <si>
    <t>Study Site Identifier</t>
  </si>
  <si>
    <t>ADSL.SITEID</t>
  </si>
  <si>
    <t>AGE</t>
  </si>
  <si>
    <t>Age</t>
  </si>
  <si>
    <t>integer</t>
  </si>
  <si>
    <t>ADSL.AGE</t>
  </si>
  <si>
    <t>AGEU</t>
  </si>
  <si>
    <t>Age Units</t>
  </si>
  <si>
    <t>Age Unit</t>
  </si>
  <si>
    <t>ADSL.AGEU</t>
  </si>
  <si>
    <t>SEX</t>
  </si>
  <si>
    <t>Sex</t>
  </si>
  <si>
    <t>ADSL.SEX</t>
  </si>
  <si>
    <t>RACE</t>
  </si>
  <si>
    <t>Race</t>
  </si>
  <si>
    <t>ADSL.RACE</t>
  </si>
  <si>
    <t>ETHNIC</t>
  </si>
  <si>
    <t>Ethnicity</t>
  </si>
  <si>
    <t>ADSL.ETHNIC</t>
  </si>
  <si>
    <t>Perm</t>
  </si>
  <si>
    <t>COUNTRY</t>
  </si>
  <si>
    <t>Country</t>
  </si>
  <si>
    <t>ISO3166</t>
  </si>
  <si>
    <t>ADSL.COUNTRY</t>
  </si>
  <si>
    <t>REGION1</t>
  </si>
  <si>
    <t>Geographic Region 1</t>
  </si>
  <si>
    <t>ADSL.REGION1</t>
  </si>
  <si>
    <t>SAFFL</t>
  </si>
  <si>
    <t>Safety Population Flag</t>
  </si>
  <si>
    <t>No Yes Response</t>
  </si>
  <si>
    <t>ADSL.SAFFL</t>
  </si>
  <si>
    <t>Cond</t>
  </si>
  <si>
    <t>ITTFL</t>
  </si>
  <si>
    <t>Intent-To-Treat Population Flag</t>
  </si>
  <si>
    <t>ADSL.ITTFL</t>
  </si>
  <si>
    <t>PPROTFL</t>
  </si>
  <si>
    <t>Per-Protocol Population Flag</t>
  </si>
  <si>
    <t>ADSL.PPROTFL</t>
  </si>
  <si>
    <t>RANDFL</t>
  </si>
  <si>
    <t>Randomized Population Flag</t>
  </si>
  <si>
    <t/>
  </si>
  <si>
    <t>ADSL.RANDTFL</t>
  </si>
  <si>
    <t>TRT01P</t>
  </si>
  <si>
    <t>Planned Treatment for Period 01</t>
  </si>
  <si>
    <t>ADSL.TRT01P</t>
  </si>
  <si>
    <t>TRT01PN</t>
  </si>
  <si>
    <t>Planned Treatment for Period 01 (N)</t>
  </si>
  <si>
    <t>ADSL.TRT01PN</t>
  </si>
  <si>
    <t>TRT01A</t>
  </si>
  <si>
    <t>Actual Treatment for Period 01</t>
  </si>
  <si>
    <t>ADSL.TRT01A</t>
  </si>
  <si>
    <t>TRT01AN</t>
  </si>
  <si>
    <t>Actual Treatment for Period 01 (N)</t>
  </si>
  <si>
    <t>ADSL.TRT01AN</t>
  </si>
  <si>
    <t>TRTSDT</t>
  </si>
  <si>
    <t>Date of First Exposure to Treatment</t>
  </si>
  <si>
    <t>date9.</t>
  </si>
  <si>
    <t>ADSL.TRTSDT</t>
  </si>
  <si>
    <t>TRTEDT</t>
  </si>
  <si>
    <t>Date of Last Exposure to Treatment</t>
  </si>
  <si>
    <t>ADSL.TRTEDT</t>
  </si>
  <si>
    <t>VSSEQ</t>
  </si>
  <si>
    <t>Sequence Number</t>
  </si>
  <si>
    <t>VS.VSSEQ</t>
  </si>
  <si>
    <t>VISIT</t>
  </si>
  <si>
    <t>Visit Name</t>
  </si>
  <si>
    <t>Char</t>
  </si>
  <si>
    <t>VS.VISIT</t>
  </si>
  <si>
    <t>VISITNUM</t>
  </si>
  <si>
    <t>Visit Number</t>
  </si>
  <si>
    <t>Num</t>
  </si>
  <si>
    <t>VS.VISITNUM</t>
  </si>
  <si>
    <t>VSDTC</t>
  </si>
  <si>
    <t>Date/Time of Measurements</t>
  </si>
  <si>
    <t>VS.VSDTC</t>
  </si>
  <si>
    <t>AVISIT</t>
  </si>
  <si>
    <t>Analysis Visit</t>
  </si>
  <si>
    <t>Derived</t>
  </si>
  <si>
    <t>AVISITN</t>
  </si>
  <si>
    <t>Analysis Visit (N)</t>
  </si>
  <si>
    <t>PARAM</t>
  </si>
  <si>
    <t>Parameter</t>
  </si>
  <si>
    <t xml:space="preserve">Systolic Blood Pressure (mmHg)
Temperature (C)
Heart Rate (beats/min)
Diastolic Blood Pressure (mmHg)
Respiratory Rate (breaths/min)
Oxygen Saturation (%)
Weight (kg)
Height (cm)
Body Mass Index (kg/m2)
</t>
  </si>
  <si>
    <t>Set to Concatenation of VS.VSTEST and VS.VSSTRESU</t>
  </si>
  <si>
    <t>PARAMN</t>
  </si>
  <si>
    <t>Parameter (N)</t>
  </si>
  <si>
    <t xml:space="preserve">1 = Systolic Blood Pressure (mmHg)
2 = Temperature (C)
3 = Heart Rate (beats/min)
4 = Diastolic Blood Pressure (mmHg)
5 = Respiratory Rate (breaths/min)
6 = Oxygen Saturation (%)
7 = Weight (kg)
8 = Height (cm)
9 = Body Mass Index (kg/m2)
</t>
  </si>
  <si>
    <t>Set to The order as per Shell.</t>
  </si>
  <si>
    <t>PARAMCD</t>
  </si>
  <si>
    <t>Parameter Code</t>
  </si>
  <si>
    <t>SYSBP
DIABP
HR
RESP
TEMP
WEIGHT
HEIGHT
BMI
OXYSAT</t>
  </si>
  <si>
    <t>Set to VS.VSTESTCD</t>
  </si>
  <si>
    <t>AVALC</t>
  </si>
  <si>
    <t>Analysis Value (C)</t>
  </si>
  <si>
    <t>Set to VS.VSSTRESC</t>
  </si>
  <si>
    <t>AVAL</t>
  </si>
  <si>
    <t>Analysis Value</t>
  </si>
  <si>
    <t>Set to VS.VSSTRESN</t>
  </si>
  <si>
    <t>ADT</t>
  </si>
  <si>
    <t>Analysis Date</t>
  </si>
  <si>
    <t>Set to Numeric date part of VS.VSDTC</t>
  </si>
  <si>
    <t>ADTM</t>
  </si>
  <si>
    <t>Analysis Datetime</t>
  </si>
  <si>
    <t>datetime20.</t>
  </si>
  <si>
    <t>Set to numeric date and time part of EG.VSDTC</t>
  </si>
  <si>
    <t xml:space="preserve">ADY </t>
  </si>
  <si>
    <t>Analysis Relative Day</t>
  </si>
  <si>
    <t>Set to ADVS.ADT-ADSL.TRTSDT.
If ADY is greater than or equal to 0 then set to ADY+1.</t>
  </si>
  <si>
    <t>ADSL.TRTSDT
LB.LBDTC</t>
  </si>
  <si>
    <t>ABLFL</t>
  </si>
  <si>
    <t>Baseline Record Flag</t>
  </si>
  <si>
    <t>Y, Null</t>
  </si>
  <si>
    <t>Set to 'Y' for the record which is latest before treatment or latest record from VS.VSTPT = 'PREOPERATIVE'</t>
  </si>
  <si>
    <t>BASE</t>
  </si>
  <si>
    <t>Baseline Value</t>
  </si>
  <si>
    <t>Set to ADVS.AVAL for the Baseline and Post-baseline records where ADVS.ABLFL = 'Y'</t>
  </si>
  <si>
    <t>BASEC</t>
  </si>
  <si>
    <t>Baseline Value (C)</t>
  </si>
  <si>
    <t>Set to ADVS.AVALC for the Baseline and Post-baseline records where ADVS.ABLFL = 'Y'</t>
  </si>
  <si>
    <t>CHG</t>
  </si>
  <si>
    <t>Change from Baseline</t>
  </si>
  <si>
    <t>Set to ADVS.AVAL-ADVS.BASE for Post-baseline records.</t>
  </si>
  <si>
    <t>PCHG</t>
  </si>
  <si>
    <t>Percent Change from Baseline</t>
  </si>
  <si>
    <t>Set to ADVS.CHG/ADVS.BASE*100 for Post-baseline records. If BASE is not missing or BASE ne 0</t>
  </si>
  <si>
    <t>ANL01FL</t>
  </si>
  <si>
    <t>Analysis Flag 01</t>
  </si>
  <si>
    <t>Set to 'Y' where ABLFL = 'Y' and for Post-Baseline records.</t>
  </si>
  <si>
    <t>ONTRTFL</t>
  </si>
  <si>
    <t>On Treatment Record Flag</t>
  </si>
  <si>
    <t xml:space="preserve">Set to 'Y' if (ADT &gt;= TRTSDT) and (ADT &lt;= TRTEDT);
Else set to null;
</t>
  </si>
  <si>
    <t>CRIT1</t>
  </si>
  <si>
    <t>Abnormal Criterion</t>
  </si>
  <si>
    <t>Set "Systolic Blood Pressure (mmHg) &lt;90 or Systolic Blood Pressure (mmHg) &gt;120" if SBP below 90  or above 120 mmHg.
Set "Diastolic Blood Pressure (mmHg) &lt;60 or Diastolic Blood Pressure (mmHg) &gt;80" if DBP below 60  or above 80 mmHg.
Set "Respiratory Rate (breaths/min) &lt;12 or Respiratory Rate (breaths/min) &gt;18" if RESP below 12 or RESP above 18 bpm.
Set "Heart Rate (beats/min) &lt;60 or Heart Rate (beats/min) &gt;90" if HR below 60 or  HR above 90 bpm.
Set "Temperature (C)&lt;36.5 or Temperature (C) &gt; 37.3" if TEMP below 36.5° or TEMP above 37.3°C.
Set "Oxygen Saturation (%) &lt;95 or Oxygen Saturation (%) &gt;100" if Oxygen saturation below 95 or above 100 %.</t>
  </si>
  <si>
    <t>CRITFL</t>
  </si>
  <si>
    <t>Abnormal Criterion Flag</t>
  </si>
  <si>
    <t>If not missing CRIT1 Then CRIT1FL equal to 'Y'</t>
  </si>
  <si>
    <t>CRIT2</t>
  </si>
  <si>
    <t>Clinically notable abnormal Criterion</t>
  </si>
  <si>
    <t>Set "Systolic Blood Pressure (mmHg) &lt;90 or Systolic Blood Pressure (mmHg) &gt;140" if SBP below 90  or above 140 mmHg.
Set "Diastolic Blood Pressure (mmHg) &lt;50 or Diastolic Blood Pressure (mmHg) &gt;90" if DBP below 50 or above 90 mmHg.
Set "Respiratory Rate (breaths/min) &lt;10 or Respiratory Rate (breaths/min) &gt;30" if RESP below 10 or RESP above 30 bpm.
Set "Heart Rate (beats/min) &lt;40 or Heart Rate (beats/min) &gt;100" if HR below 40 or  HR above 100 bpm.
Set "Temperature (C)&lt;34.9 or Temperature (C) &gt; 39.5" if TEMP below 34.9° or TEMP above 39.5°C.
Set "Oxygen Saturation (%) &lt;92 or Oxygen Saturation (%) &gt;100" if Oxygen saturation below 92 or above 100 %.</t>
  </si>
  <si>
    <t>CRIT2FL</t>
  </si>
  <si>
    <t>Clinically notable abnormal Criterion Flag</t>
  </si>
  <si>
    <t>If not missing CRIT2 Then CRIT2FL equal to 'Y'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</si>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</sst>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7"/>
  <sheetViews>
    <sheetView tabSelected="1" zoomScale="61" workbookViewId="0">
      <selection activeCell="L56" sqref="L56"/>
    </sheetView>
  </sheetViews>
  <sheetFormatPr defaultRowHeight="14.5" x14ac:dyDescent="0.35"/>
  <cols>
    <col min="3" max="3" width="22.26953125" bestFit="1" customWidth="1"/>
    <col min="4" max="4" width="10" bestFit="1" customWidth="1"/>
    <col min="5" max="5" width="38.453125" bestFit="1" customWidth="1"/>
    <col min="11" max="11" width="11" bestFit="1" customWidth="1"/>
    <col min="12" max="12" width="255.6328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8</v>
      </c>
      <c r="K2" t="s">
        <v>24</v>
      </c>
      <c r="L2" t="s">
        <v>25</v>
      </c>
      <c r="M2" t="s">
        <v>26</v>
      </c>
      <c r="N2">
        <v>1</v>
      </c>
    </row>
    <row r="3" spans="1:18" hidden="1" x14ac:dyDescent="0.35">
      <c r="A3" t="s">
        <v>18</v>
      </c>
      <c r="B3" t="s">
        <v>19</v>
      </c>
      <c r="C3" t="s">
        <v>20</v>
      </c>
      <c r="D3" t="s">
        <v>27</v>
      </c>
      <c r="E3" t="s">
        <v>28</v>
      </c>
      <c r="F3" t="s">
        <v>23</v>
      </c>
      <c r="G3">
        <v>50</v>
      </c>
      <c r="K3" t="s">
        <v>24</v>
      </c>
      <c r="L3" t="s">
        <v>29</v>
      </c>
      <c r="M3" t="s">
        <v>26</v>
      </c>
      <c r="N3">
        <v>2</v>
      </c>
    </row>
    <row r="4" spans="1:18" hidden="1" x14ac:dyDescent="0.35">
      <c r="A4" t="s">
        <v>18</v>
      </c>
      <c r="B4" t="s">
        <v>19</v>
      </c>
      <c r="C4" t="s">
        <v>20</v>
      </c>
      <c r="D4" t="s">
        <v>30</v>
      </c>
      <c r="E4" t="s">
        <v>31</v>
      </c>
      <c r="F4" t="s">
        <v>23</v>
      </c>
      <c r="G4">
        <v>50</v>
      </c>
      <c r="K4" t="s">
        <v>24</v>
      </c>
      <c r="L4" t="s">
        <v>32</v>
      </c>
      <c r="M4" t="s">
        <v>26</v>
      </c>
    </row>
    <row r="5" spans="1:18" hidden="1" x14ac:dyDescent="0.35">
      <c r="A5" t="s">
        <v>18</v>
      </c>
      <c r="B5" t="s">
        <v>19</v>
      </c>
      <c r="C5" t="s">
        <v>20</v>
      </c>
      <c r="D5" t="s">
        <v>33</v>
      </c>
      <c r="E5" t="s">
        <v>34</v>
      </c>
      <c r="F5" t="s">
        <v>23</v>
      </c>
      <c r="G5">
        <v>20</v>
      </c>
      <c r="K5" t="s">
        <v>24</v>
      </c>
      <c r="L5" t="s">
        <v>35</v>
      </c>
      <c r="M5" t="s">
        <v>26</v>
      </c>
    </row>
    <row r="6" spans="1:18" hidden="1" x14ac:dyDescent="0.35">
      <c r="A6" t="s">
        <v>18</v>
      </c>
      <c r="B6" t="s">
        <v>19</v>
      </c>
      <c r="C6" t="s">
        <v>20</v>
      </c>
      <c r="D6" t="s">
        <v>36</v>
      </c>
      <c r="E6" t="s">
        <v>37</v>
      </c>
      <c r="F6" t="s">
        <v>38</v>
      </c>
      <c r="G6">
        <v>8</v>
      </c>
      <c r="K6" t="s">
        <v>24</v>
      </c>
      <c r="L6" t="s">
        <v>39</v>
      </c>
      <c r="M6" t="s">
        <v>26</v>
      </c>
    </row>
    <row r="7" spans="1:18" hidden="1" x14ac:dyDescent="0.35">
      <c r="A7" t="s">
        <v>18</v>
      </c>
      <c r="B7" t="s">
        <v>19</v>
      </c>
      <c r="C7" t="s">
        <v>20</v>
      </c>
      <c r="D7" t="s">
        <v>40</v>
      </c>
      <c r="E7" t="s">
        <v>41</v>
      </c>
      <c r="F7" t="s">
        <v>23</v>
      </c>
      <c r="G7">
        <v>6</v>
      </c>
      <c r="I7" t="s">
        <v>42</v>
      </c>
      <c r="K7" t="s">
        <v>24</v>
      </c>
      <c r="L7" t="s">
        <v>43</v>
      </c>
      <c r="M7" t="s">
        <v>26</v>
      </c>
    </row>
    <row r="8" spans="1:18" hidden="1" x14ac:dyDescent="0.35">
      <c r="A8" t="s">
        <v>18</v>
      </c>
      <c r="B8" t="s">
        <v>19</v>
      </c>
      <c r="C8" t="s">
        <v>20</v>
      </c>
      <c r="D8" t="s">
        <v>44</v>
      </c>
      <c r="E8" t="s">
        <v>45</v>
      </c>
      <c r="F8" t="s">
        <v>23</v>
      </c>
      <c r="G8">
        <v>2</v>
      </c>
      <c r="I8" t="s">
        <v>45</v>
      </c>
      <c r="K8" t="s">
        <v>24</v>
      </c>
      <c r="L8" t="s">
        <v>46</v>
      </c>
      <c r="M8" t="s">
        <v>26</v>
      </c>
    </row>
    <row r="9" spans="1:18" hidden="1" x14ac:dyDescent="0.35">
      <c r="A9" t="s">
        <v>18</v>
      </c>
      <c r="B9" t="s">
        <v>19</v>
      </c>
      <c r="C9" t="s">
        <v>20</v>
      </c>
      <c r="D9" t="s">
        <v>47</v>
      </c>
      <c r="E9" t="s">
        <v>48</v>
      </c>
      <c r="F9" t="s">
        <v>23</v>
      </c>
      <c r="G9">
        <v>200</v>
      </c>
      <c r="I9" t="s">
        <v>48</v>
      </c>
      <c r="K9" t="s">
        <v>24</v>
      </c>
      <c r="L9" t="s">
        <v>49</v>
      </c>
      <c r="M9" t="s">
        <v>26</v>
      </c>
    </row>
    <row r="10" spans="1:18" hidden="1" x14ac:dyDescent="0.35">
      <c r="A10" t="s">
        <v>18</v>
      </c>
      <c r="B10" t="s">
        <v>19</v>
      </c>
      <c r="C10" t="s">
        <v>20</v>
      </c>
      <c r="D10" t="s">
        <v>50</v>
      </c>
      <c r="E10" t="s">
        <v>51</v>
      </c>
      <c r="F10" t="s">
        <v>23</v>
      </c>
      <c r="G10">
        <v>200</v>
      </c>
      <c r="K10" t="s">
        <v>24</v>
      </c>
      <c r="L10" t="s">
        <v>52</v>
      </c>
      <c r="M10" t="s">
        <v>53</v>
      </c>
    </row>
    <row r="11" spans="1:18" hidden="1" x14ac:dyDescent="0.35">
      <c r="A11" t="s">
        <v>18</v>
      </c>
      <c r="B11" t="s">
        <v>19</v>
      </c>
      <c r="C11" t="s">
        <v>20</v>
      </c>
      <c r="D11" t="s">
        <v>54</v>
      </c>
      <c r="E11" t="s">
        <v>55</v>
      </c>
      <c r="F11" t="s">
        <v>23</v>
      </c>
      <c r="G11">
        <v>3</v>
      </c>
      <c r="I11" t="s">
        <v>56</v>
      </c>
      <c r="K11" t="s">
        <v>24</v>
      </c>
      <c r="L11" t="s">
        <v>57</v>
      </c>
      <c r="M11" t="s">
        <v>53</v>
      </c>
    </row>
    <row r="12" spans="1:18" hidden="1" x14ac:dyDescent="0.35">
      <c r="A12" t="s">
        <v>18</v>
      </c>
      <c r="B12" t="s">
        <v>19</v>
      </c>
      <c r="C12" t="s">
        <v>20</v>
      </c>
      <c r="D12" t="s">
        <v>58</v>
      </c>
      <c r="E12" t="s">
        <v>59</v>
      </c>
      <c r="F12" t="s">
        <v>23</v>
      </c>
      <c r="G12">
        <v>200</v>
      </c>
      <c r="K12" t="s">
        <v>24</v>
      </c>
      <c r="L12" t="s">
        <v>60</v>
      </c>
      <c r="M12" t="s">
        <v>53</v>
      </c>
    </row>
    <row r="13" spans="1:18" hidden="1" x14ac:dyDescent="0.35">
      <c r="A13" t="s">
        <v>18</v>
      </c>
      <c r="B13" t="s">
        <v>19</v>
      </c>
      <c r="C13" t="s">
        <v>20</v>
      </c>
      <c r="D13" t="s">
        <v>61</v>
      </c>
      <c r="E13" t="s">
        <v>62</v>
      </c>
      <c r="F13" t="s">
        <v>23</v>
      </c>
      <c r="G13">
        <v>1</v>
      </c>
      <c r="I13" t="s">
        <v>63</v>
      </c>
      <c r="K13" t="s">
        <v>24</v>
      </c>
      <c r="L13" t="s">
        <v>64</v>
      </c>
      <c r="M13" t="s">
        <v>65</v>
      </c>
    </row>
    <row r="14" spans="1:18" hidden="1" x14ac:dyDescent="0.35">
      <c r="A14" t="s">
        <v>18</v>
      </c>
      <c r="B14" t="s">
        <v>19</v>
      </c>
      <c r="C14" t="s">
        <v>20</v>
      </c>
      <c r="D14" t="s">
        <v>66</v>
      </c>
      <c r="E14" t="s">
        <v>67</v>
      </c>
      <c r="F14" t="s">
        <v>23</v>
      </c>
      <c r="G14">
        <v>1</v>
      </c>
      <c r="I14" t="s">
        <v>63</v>
      </c>
      <c r="K14" t="s">
        <v>24</v>
      </c>
      <c r="L14" t="s">
        <v>68</v>
      </c>
      <c r="M14" t="s">
        <v>65</v>
      </c>
    </row>
    <row r="15" spans="1:18" hidden="1" x14ac:dyDescent="0.35">
      <c r="A15" t="s">
        <v>18</v>
      </c>
      <c r="B15" t="s">
        <v>19</v>
      </c>
      <c r="C15" t="s">
        <v>20</v>
      </c>
      <c r="D15" t="s">
        <v>69</v>
      </c>
      <c r="E15" t="s">
        <v>70</v>
      </c>
      <c r="F15" t="s">
        <v>23</v>
      </c>
      <c r="G15">
        <v>1</v>
      </c>
      <c r="I15" t="s">
        <v>63</v>
      </c>
      <c r="K15" t="s">
        <v>24</v>
      </c>
      <c r="L15" t="s">
        <v>71</v>
      </c>
      <c r="M15" t="s">
        <v>65</v>
      </c>
    </row>
    <row r="16" spans="1:18" hidden="1" x14ac:dyDescent="0.35">
      <c r="A16" t="s">
        <v>18</v>
      </c>
      <c r="B16" t="s">
        <v>19</v>
      </c>
      <c r="C16" t="s">
        <v>20</v>
      </c>
      <c r="D16" t="s">
        <v>72</v>
      </c>
      <c r="E16" t="s">
        <v>73</v>
      </c>
      <c r="F16" t="s">
        <v>23</v>
      </c>
      <c r="G16">
        <v>1</v>
      </c>
      <c r="I16" t="s">
        <v>63</v>
      </c>
      <c r="J16" t="s">
        <v>74</v>
      </c>
      <c r="K16" t="s">
        <v>24</v>
      </c>
      <c r="L16" t="s">
        <v>75</v>
      </c>
      <c r="M16" t="s">
        <v>65</v>
      </c>
    </row>
    <row r="17" spans="1:13" hidden="1" x14ac:dyDescent="0.35">
      <c r="A17" t="s">
        <v>18</v>
      </c>
      <c r="B17" t="s">
        <v>19</v>
      </c>
      <c r="C17" t="s">
        <v>20</v>
      </c>
      <c r="D17" t="s">
        <v>76</v>
      </c>
      <c r="E17" t="s">
        <v>77</v>
      </c>
      <c r="F17" t="s">
        <v>23</v>
      </c>
      <c r="G17">
        <v>200</v>
      </c>
      <c r="K17" t="s">
        <v>24</v>
      </c>
      <c r="L17" t="s">
        <v>78</v>
      </c>
      <c r="M17" t="s">
        <v>26</v>
      </c>
    </row>
    <row r="18" spans="1:13" hidden="1" x14ac:dyDescent="0.35">
      <c r="A18" t="s">
        <v>18</v>
      </c>
      <c r="B18" t="s">
        <v>19</v>
      </c>
      <c r="C18" t="s">
        <v>20</v>
      </c>
      <c r="D18" t="s">
        <v>79</v>
      </c>
      <c r="E18" t="s">
        <v>80</v>
      </c>
      <c r="F18" t="s">
        <v>38</v>
      </c>
      <c r="G18">
        <v>8</v>
      </c>
      <c r="K18" t="s">
        <v>24</v>
      </c>
      <c r="L18" t="s">
        <v>81</v>
      </c>
      <c r="M18" t="s">
        <v>65</v>
      </c>
    </row>
    <row r="19" spans="1:13" hidden="1" x14ac:dyDescent="0.35">
      <c r="A19" t="s">
        <v>18</v>
      </c>
      <c r="B19" t="s">
        <v>19</v>
      </c>
      <c r="C19" t="s">
        <v>20</v>
      </c>
      <c r="D19" t="s">
        <v>82</v>
      </c>
      <c r="E19" t="s">
        <v>83</v>
      </c>
      <c r="F19" t="s">
        <v>23</v>
      </c>
      <c r="G19">
        <v>200</v>
      </c>
      <c r="K19" t="s">
        <v>24</v>
      </c>
      <c r="L19" t="s">
        <v>84</v>
      </c>
      <c r="M19" t="s">
        <v>65</v>
      </c>
    </row>
    <row r="20" spans="1:13" hidden="1" x14ac:dyDescent="0.35">
      <c r="A20" t="s">
        <v>18</v>
      </c>
      <c r="B20" t="s">
        <v>19</v>
      </c>
      <c r="C20" t="s">
        <v>20</v>
      </c>
      <c r="D20" t="s">
        <v>85</v>
      </c>
      <c r="E20" t="s">
        <v>86</v>
      </c>
      <c r="F20" t="s">
        <v>38</v>
      </c>
      <c r="G20">
        <v>8</v>
      </c>
      <c r="K20" t="s">
        <v>24</v>
      </c>
      <c r="L20" t="s">
        <v>87</v>
      </c>
      <c r="M20" t="s">
        <v>65</v>
      </c>
    </row>
    <row r="21" spans="1:13" hidden="1" x14ac:dyDescent="0.35">
      <c r="A21" t="s">
        <v>18</v>
      </c>
      <c r="B21" t="s">
        <v>19</v>
      </c>
      <c r="C21" t="s">
        <v>20</v>
      </c>
      <c r="D21" t="s">
        <v>88</v>
      </c>
      <c r="E21" t="s">
        <v>89</v>
      </c>
      <c r="F21" t="s">
        <v>38</v>
      </c>
      <c r="G21">
        <v>8</v>
      </c>
      <c r="J21" t="s">
        <v>90</v>
      </c>
      <c r="K21" t="s">
        <v>24</v>
      </c>
      <c r="L21" t="s">
        <v>91</v>
      </c>
      <c r="M21" t="s">
        <v>65</v>
      </c>
    </row>
    <row r="22" spans="1:13" hidden="1" x14ac:dyDescent="0.35">
      <c r="A22" t="s">
        <v>18</v>
      </c>
      <c r="B22" t="s">
        <v>19</v>
      </c>
      <c r="C22" t="s">
        <v>20</v>
      </c>
      <c r="D22" t="s">
        <v>92</v>
      </c>
      <c r="E22" t="s">
        <v>93</v>
      </c>
      <c r="F22" t="s">
        <v>38</v>
      </c>
      <c r="G22">
        <v>8</v>
      </c>
      <c r="J22" t="s">
        <v>90</v>
      </c>
      <c r="K22" t="s">
        <v>24</v>
      </c>
      <c r="L22" t="s">
        <v>94</v>
      </c>
      <c r="M22" t="s">
        <v>65</v>
      </c>
    </row>
    <row r="23" spans="1:13" hidden="1" x14ac:dyDescent="0.35">
      <c r="A23" t="s">
        <v>18</v>
      </c>
      <c r="B23" t="s">
        <v>19</v>
      </c>
      <c r="C23" t="s">
        <v>20</v>
      </c>
      <c r="D23" t="s">
        <v>95</v>
      </c>
      <c r="E23" t="s">
        <v>96</v>
      </c>
      <c r="F23" t="s">
        <v>38</v>
      </c>
      <c r="G23">
        <v>8</v>
      </c>
      <c r="K23" t="s">
        <v>24</v>
      </c>
      <c r="L23" t="s">
        <v>97</v>
      </c>
      <c r="M23" t="s">
        <v>65</v>
      </c>
    </row>
    <row r="24" spans="1:13" hidden="1" x14ac:dyDescent="0.35">
      <c r="A24" t="s">
        <v>18</v>
      </c>
      <c r="B24" t="s">
        <v>19</v>
      </c>
      <c r="C24" t="s">
        <v>20</v>
      </c>
      <c r="D24" t="s">
        <v>98</v>
      </c>
      <c r="E24" t="s">
        <v>99</v>
      </c>
      <c r="F24" t="s">
        <v>100</v>
      </c>
      <c r="G24">
        <v>40</v>
      </c>
      <c r="K24" t="s">
        <v>24</v>
      </c>
      <c r="L24" t="s">
        <v>101</v>
      </c>
      <c r="M24" t="s">
        <v>65</v>
      </c>
    </row>
    <row r="25" spans="1:13" hidden="1" x14ac:dyDescent="0.35">
      <c r="A25" t="s">
        <v>18</v>
      </c>
      <c r="B25" t="s">
        <v>19</v>
      </c>
      <c r="C25" t="s">
        <v>20</v>
      </c>
      <c r="D25" t="s">
        <v>102</v>
      </c>
      <c r="E25" t="s">
        <v>103</v>
      </c>
      <c r="F25" t="s">
        <v>104</v>
      </c>
      <c r="G25">
        <v>8</v>
      </c>
      <c r="K25" t="s">
        <v>24</v>
      </c>
      <c r="L25" t="s">
        <v>105</v>
      </c>
      <c r="M25" t="s">
        <v>65</v>
      </c>
    </row>
    <row r="26" spans="1:13" hidden="1" x14ac:dyDescent="0.35">
      <c r="A26" t="s">
        <v>18</v>
      </c>
      <c r="B26" t="s">
        <v>19</v>
      </c>
      <c r="C26" t="s">
        <v>20</v>
      </c>
      <c r="D26" t="s">
        <v>106</v>
      </c>
      <c r="E26" t="s">
        <v>107</v>
      </c>
      <c r="F26" t="s">
        <v>100</v>
      </c>
      <c r="G26">
        <v>20</v>
      </c>
      <c r="K26" t="s">
        <v>24</v>
      </c>
      <c r="L26" t="s">
        <v>108</v>
      </c>
      <c r="M26" t="s">
        <v>65</v>
      </c>
    </row>
    <row r="27" spans="1:13" x14ac:dyDescent="0.35">
      <c r="A27" t="s">
        <v>18</v>
      </c>
      <c r="B27" t="s">
        <v>19</v>
      </c>
      <c r="C27" t="s">
        <v>20</v>
      </c>
      <c r="D27" t="s">
        <v>109</v>
      </c>
      <c r="E27" t="s">
        <v>110</v>
      </c>
      <c r="F27" t="s">
        <v>100</v>
      </c>
      <c r="G27">
        <v>40</v>
      </c>
      <c r="K27" t="s">
        <v>111</v>
      </c>
      <c r="L27" t="s">
        <v>101</v>
      </c>
      <c r="M27" t="s">
        <v>65</v>
      </c>
    </row>
    <row r="28" spans="1:13" x14ac:dyDescent="0.35">
      <c r="A28" t="s">
        <v>18</v>
      </c>
      <c r="B28" t="s">
        <v>19</v>
      </c>
      <c r="C28" t="s">
        <v>20</v>
      </c>
      <c r="D28" t="s">
        <v>112</v>
      </c>
      <c r="E28" t="s">
        <v>113</v>
      </c>
      <c r="F28" t="s">
        <v>104</v>
      </c>
      <c r="G28">
        <v>8</v>
      </c>
      <c r="K28" t="s">
        <v>111</v>
      </c>
      <c r="L28" t="s">
        <v>105</v>
      </c>
      <c r="M28" t="s">
        <v>65</v>
      </c>
    </row>
    <row r="29" spans="1:13" x14ac:dyDescent="0.35">
      <c r="A29" t="s">
        <v>18</v>
      </c>
      <c r="B29" t="s">
        <v>19</v>
      </c>
      <c r="C29" t="s">
        <v>20</v>
      </c>
      <c r="D29" t="s">
        <v>114</v>
      </c>
      <c r="E29" t="s">
        <v>115</v>
      </c>
      <c r="F29" t="s">
        <v>100</v>
      </c>
      <c r="G29">
        <v>200</v>
      </c>
      <c r="H29" t="s">
        <v>116</v>
      </c>
      <c r="K29" t="s">
        <v>111</v>
      </c>
      <c r="L29" t="s">
        <v>117</v>
      </c>
      <c r="M29" t="s">
        <v>65</v>
      </c>
    </row>
    <row r="30" spans="1:13" x14ac:dyDescent="0.35">
      <c r="A30" t="s">
        <v>18</v>
      </c>
      <c r="B30" t="s">
        <v>19</v>
      </c>
      <c r="C30" t="s">
        <v>20</v>
      </c>
      <c r="D30" t="s">
        <v>118</v>
      </c>
      <c r="E30" t="s">
        <v>119</v>
      </c>
      <c r="F30" t="s">
        <v>104</v>
      </c>
      <c r="G30">
        <v>8</v>
      </c>
      <c r="H30" t="s">
        <v>120</v>
      </c>
      <c r="K30" t="s">
        <v>111</v>
      </c>
      <c r="L30" t="s">
        <v>121</v>
      </c>
      <c r="M30" t="s">
        <v>65</v>
      </c>
    </row>
    <row r="31" spans="1:13" hidden="1" x14ac:dyDescent="0.35">
      <c r="A31" t="s">
        <v>18</v>
      </c>
      <c r="B31" t="s">
        <v>19</v>
      </c>
      <c r="C31" t="s">
        <v>20</v>
      </c>
      <c r="D31" t="s">
        <v>122</v>
      </c>
      <c r="E31" t="s">
        <v>123</v>
      </c>
      <c r="F31" t="s">
        <v>100</v>
      </c>
      <c r="G31">
        <v>200</v>
      </c>
      <c r="H31" t="s">
        <v>124</v>
      </c>
      <c r="K31" t="s">
        <v>24</v>
      </c>
      <c r="L31" t="s">
        <v>125</v>
      </c>
      <c r="M31" t="s">
        <v>65</v>
      </c>
    </row>
    <row r="32" spans="1:13" x14ac:dyDescent="0.35">
      <c r="A32" t="s">
        <v>18</v>
      </c>
      <c r="B32" t="s">
        <v>19</v>
      </c>
      <c r="C32" t="s">
        <v>20</v>
      </c>
      <c r="D32" t="s">
        <v>126</v>
      </c>
      <c r="E32" t="s">
        <v>127</v>
      </c>
      <c r="F32" t="s">
        <v>100</v>
      </c>
      <c r="G32">
        <v>200</v>
      </c>
      <c r="K32" t="s">
        <v>111</v>
      </c>
      <c r="L32" t="s">
        <v>128</v>
      </c>
      <c r="M32" t="s">
        <v>65</v>
      </c>
    </row>
    <row r="33" spans="1:18" x14ac:dyDescent="0.35">
      <c r="A33" t="s">
        <v>18</v>
      </c>
      <c r="B33" t="s">
        <v>19</v>
      </c>
      <c r="C33" t="s">
        <v>20</v>
      </c>
      <c r="D33" t="s">
        <v>129</v>
      </c>
      <c r="E33" t="s">
        <v>130</v>
      </c>
      <c r="F33" t="s">
        <v>104</v>
      </c>
      <c r="G33">
        <v>8</v>
      </c>
      <c r="K33" t="s">
        <v>111</v>
      </c>
      <c r="L33" t="s">
        <v>131</v>
      </c>
      <c r="M33" t="s">
        <v>65</v>
      </c>
    </row>
    <row r="34" spans="1:18" x14ac:dyDescent="0.35">
      <c r="A34" t="s">
        <v>18</v>
      </c>
      <c r="B34" t="s">
        <v>19</v>
      </c>
      <c r="C34" t="s">
        <v>20</v>
      </c>
      <c r="D34" t="s">
        <v>132</v>
      </c>
      <c r="E34" t="s">
        <v>133</v>
      </c>
      <c r="F34" t="s">
        <v>104</v>
      </c>
      <c r="G34">
        <v>8</v>
      </c>
      <c r="H34" t="s">
        <v>90</v>
      </c>
      <c r="K34" t="s">
        <v>111</v>
      </c>
      <c r="L34" t="s">
        <v>134</v>
      </c>
      <c r="M34" t="s">
        <v>65</v>
      </c>
    </row>
    <row r="35" spans="1:18" x14ac:dyDescent="0.35">
      <c r="A35" t="s">
        <v>18</v>
      </c>
      <c r="B35" t="s">
        <v>19</v>
      </c>
      <c r="C35" t="s">
        <v>20</v>
      </c>
      <c r="D35" t="s">
        <v>135</v>
      </c>
      <c r="E35" t="s">
        <v>136</v>
      </c>
      <c r="F35" t="s">
        <v>38</v>
      </c>
      <c r="J35" t="s">
        <v>137</v>
      </c>
      <c r="K35" t="s">
        <v>111</v>
      </c>
      <c r="L35" t="s">
        <v>138</v>
      </c>
      <c r="M35" t="s">
        <v>65</v>
      </c>
    </row>
    <row r="36" spans="1:18" x14ac:dyDescent="0.35">
      <c r="A36" t="s">
        <v>18</v>
      </c>
      <c r="B36" t="s">
        <v>19</v>
      </c>
      <c r="C36" t="s">
        <v>20</v>
      </c>
      <c r="D36" t="s">
        <v>139</v>
      </c>
      <c r="E36" t="s">
        <v>140</v>
      </c>
      <c r="F36" t="s">
        <v>104</v>
      </c>
      <c r="G36">
        <v>8</v>
      </c>
      <c r="K36" t="s">
        <v>111</v>
      </c>
      <c r="L36" t="s">
        <v>141</v>
      </c>
      <c r="M36" t="s">
        <v>65</v>
      </c>
      <c r="R36" t="s">
        <v>142</v>
      </c>
    </row>
    <row r="37" spans="1:18" x14ac:dyDescent="0.35">
      <c r="A37" t="s">
        <v>18</v>
      </c>
      <c r="B37" t="s">
        <v>19</v>
      </c>
      <c r="C37" t="s">
        <v>20</v>
      </c>
      <c r="D37" t="s">
        <v>143</v>
      </c>
      <c r="E37" t="s">
        <v>144</v>
      </c>
      <c r="F37" t="s">
        <v>100</v>
      </c>
      <c r="G37">
        <v>1</v>
      </c>
      <c r="H37" t="s">
        <v>145</v>
      </c>
      <c r="K37" t="s">
        <v>111</v>
      </c>
      <c r="L37" t="s">
        <v>146</v>
      </c>
      <c r="M37" t="s">
        <v>65</v>
      </c>
    </row>
    <row r="38" spans="1:18" x14ac:dyDescent="0.35">
      <c r="A38" t="s">
        <v>18</v>
      </c>
      <c r="B38" t="s">
        <v>19</v>
      </c>
      <c r="C38" t="s">
        <v>20</v>
      </c>
      <c r="D38" t="s">
        <v>147</v>
      </c>
      <c r="E38" t="s">
        <v>148</v>
      </c>
      <c r="F38" t="s">
        <v>104</v>
      </c>
      <c r="G38">
        <v>8</v>
      </c>
      <c r="K38" t="s">
        <v>111</v>
      </c>
      <c r="L38" t="s">
        <v>149</v>
      </c>
      <c r="M38" t="s">
        <v>65</v>
      </c>
    </row>
    <row r="39" spans="1:18" x14ac:dyDescent="0.35">
      <c r="A39" t="s">
        <v>18</v>
      </c>
      <c r="B39" t="s">
        <v>19</v>
      </c>
      <c r="C39" t="s">
        <v>20</v>
      </c>
      <c r="D39" t="s">
        <v>150</v>
      </c>
      <c r="E39" t="s">
        <v>151</v>
      </c>
      <c r="F39" t="s">
        <v>100</v>
      </c>
      <c r="G39">
        <v>200</v>
      </c>
      <c r="K39" t="s">
        <v>111</v>
      </c>
      <c r="L39" t="s">
        <v>152</v>
      </c>
      <c r="M39" t="s">
        <v>65</v>
      </c>
    </row>
    <row r="40" spans="1:18" x14ac:dyDescent="0.35">
      <c r="A40" t="s">
        <v>18</v>
      </c>
      <c r="B40" t="s">
        <v>19</v>
      </c>
      <c r="C40" t="s">
        <v>20</v>
      </c>
      <c r="D40" t="s">
        <v>153</v>
      </c>
      <c r="E40" t="s">
        <v>154</v>
      </c>
      <c r="F40" t="s">
        <v>104</v>
      </c>
      <c r="G40">
        <v>8</v>
      </c>
      <c r="K40" t="s">
        <v>111</v>
      </c>
      <c r="L40" t="s">
        <v>155</v>
      </c>
      <c r="M40" t="s">
        <v>65</v>
      </c>
    </row>
    <row r="41" spans="1:18" x14ac:dyDescent="0.35">
      <c r="A41" t="s">
        <v>18</v>
      </c>
      <c r="B41" t="s">
        <v>19</v>
      </c>
      <c r="C41" t="s">
        <v>20</v>
      </c>
      <c r="D41" t="s">
        <v>156</v>
      </c>
      <c r="E41" t="s">
        <v>157</v>
      </c>
      <c r="F41" t="s">
        <v>104</v>
      </c>
      <c r="G41">
        <v>8</v>
      </c>
      <c r="K41" t="s">
        <v>111</v>
      </c>
      <c r="L41" t="s">
        <v>158</v>
      </c>
      <c r="M41" t="s">
        <v>65</v>
      </c>
    </row>
    <row r="42" spans="1:18" x14ac:dyDescent="0.35">
      <c r="A42" t="s">
        <v>18</v>
      </c>
      <c r="B42" t="s">
        <v>19</v>
      </c>
      <c r="C42" t="s">
        <v>20</v>
      </c>
      <c r="D42" t="s">
        <v>159</v>
      </c>
      <c r="E42" t="s">
        <v>160</v>
      </c>
      <c r="F42" t="s">
        <v>100</v>
      </c>
      <c r="G42">
        <v>1</v>
      </c>
      <c r="K42" t="s">
        <v>111</v>
      </c>
      <c r="L42" t="s">
        <v>161</v>
      </c>
      <c r="M42" t="s">
        <v>65</v>
      </c>
    </row>
    <row r="43" spans="1:18" x14ac:dyDescent="0.35">
      <c r="A43" t="s">
        <v>18</v>
      </c>
      <c r="B43" t="s">
        <v>19</v>
      </c>
      <c r="C43" t="s">
        <v>20</v>
      </c>
      <c r="D43" t="s">
        <v>162</v>
      </c>
      <c r="E43" t="s">
        <v>163</v>
      </c>
      <c r="F43" t="s">
        <v>23</v>
      </c>
      <c r="G43">
        <v>1</v>
      </c>
      <c r="H43" t="s">
        <v>145</v>
      </c>
      <c r="I43" t="s">
        <v>63</v>
      </c>
      <c r="K43" t="s">
        <v>111</v>
      </c>
      <c r="L43" t="s">
        <v>164</v>
      </c>
    </row>
    <row r="44" spans="1:18" x14ac:dyDescent="0.35">
      <c r="A44" t="s">
        <v>18</v>
      </c>
      <c r="B44" t="s">
        <v>19</v>
      </c>
      <c r="C44" t="s">
        <v>20</v>
      </c>
      <c r="D44" t="s">
        <v>165</v>
      </c>
      <c r="E44" t="s">
        <v>166</v>
      </c>
      <c r="F44" t="s">
        <v>23</v>
      </c>
      <c r="G44">
        <v>200</v>
      </c>
      <c r="K44" t="s">
        <v>111</v>
      </c>
      <c r="L44" t="s">
        <v>167</v>
      </c>
    </row>
    <row r="45" spans="1:18" x14ac:dyDescent="0.35">
      <c r="A45" t="s">
        <v>18</v>
      </c>
      <c r="B45" t="s">
        <v>19</v>
      </c>
      <c r="C45" t="s">
        <v>20</v>
      </c>
      <c r="D45" t="s">
        <v>168</v>
      </c>
      <c r="E45" t="s">
        <v>169</v>
      </c>
      <c r="F45" t="s">
        <v>23</v>
      </c>
      <c r="G45">
        <v>1</v>
      </c>
      <c r="H45" t="s">
        <v>145</v>
      </c>
      <c r="I45" t="s">
        <v>63</v>
      </c>
      <c r="K45" t="s">
        <v>111</v>
      </c>
      <c r="L45" t="s">
        <v>170</v>
      </c>
    </row>
    <row r="46" spans="1:18" x14ac:dyDescent="0.35">
      <c r="A46" t="s">
        <v>18</v>
      </c>
      <c r="B46" t="s">
        <v>19</v>
      </c>
      <c r="C46" t="s">
        <v>20</v>
      </c>
      <c r="D46" t="s">
        <v>171</v>
      </c>
      <c r="E46" t="s">
        <v>172</v>
      </c>
      <c r="F46" t="s">
        <v>23</v>
      </c>
      <c r="G46">
        <v>200</v>
      </c>
      <c r="K46" t="s">
        <v>111</v>
      </c>
      <c r="L46" t="s">
        <v>173</v>
      </c>
    </row>
    <row r="47" spans="1:18" x14ac:dyDescent="0.35">
      <c r="A47" t="s">
        <v>18</v>
      </c>
      <c r="B47" t="s">
        <v>19</v>
      </c>
      <c r="C47" t="s">
        <v>20</v>
      </c>
      <c r="D47" t="s">
        <v>174</v>
      </c>
      <c r="E47" t="s">
        <v>175</v>
      </c>
      <c r="F47" t="s">
        <v>23</v>
      </c>
      <c r="G47">
        <v>1</v>
      </c>
      <c r="H47" t="s">
        <v>145</v>
      </c>
      <c r="I47" t="s">
        <v>63</v>
      </c>
      <c r="K47" t="s">
        <v>111</v>
      </c>
      <c r="L47" t="s">
        <v>176</v>
      </c>
    </row>
  </sheetData>
  <autoFilter ref="A1:R47" xr:uid="{00000000-0001-0000-0000-000000000000}">
    <filterColumn colId="10">
      <filters>
        <filter val="Derived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topLeftCell="A15" workbookViewId="0">
      <selection activeCell="C1" sqref="C1:C47"/>
    </sheetView>
  </sheetViews>
  <sheetFormatPr defaultRowHeight="14.5" x14ac:dyDescent="0.35"/>
  <cols>
    <col min="1" max="1" width="10" bestFit="1" customWidth="1"/>
  </cols>
  <sheetData>
    <row r="1" spans="1:3" x14ac:dyDescent="0.35">
      <c r="A1" t="s">
        <v>3</v>
      </c>
      <c r="B1" t="s">
        <v>177</v>
      </c>
      <c r="C1" t="str">
        <f>_xlfn.CONCAT(A1,B1)</f>
        <v>Variable,</v>
      </c>
    </row>
    <row r="2" spans="1:3" x14ac:dyDescent="0.35">
      <c r="A2" t="s">
        <v>21</v>
      </c>
      <c r="B2" t="s">
        <v>177</v>
      </c>
      <c r="C2" t="str">
        <f t="shared" ref="C2:C47" si="0">_xlfn.CONCAT(A2,B2)</f>
        <v>STUDYID,</v>
      </c>
    </row>
    <row r="3" spans="1:3" x14ac:dyDescent="0.35">
      <c r="A3" t="s">
        <v>27</v>
      </c>
      <c r="B3" t="s">
        <v>177</v>
      </c>
      <c r="C3" t="str">
        <f t="shared" si="0"/>
        <v>USUBJID,</v>
      </c>
    </row>
    <row r="4" spans="1:3" x14ac:dyDescent="0.35">
      <c r="A4" t="s">
        <v>30</v>
      </c>
      <c r="B4" t="s">
        <v>177</v>
      </c>
      <c r="C4" t="str">
        <f t="shared" si="0"/>
        <v>SUBJID,</v>
      </c>
    </row>
    <row r="5" spans="1:3" x14ac:dyDescent="0.35">
      <c r="A5" t="s">
        <v>33</v>
      </c>
      <c r="B5" t="s">
        <v>177</v>
      </c>
      <c r="C5" t="str">
        <f t="shared" si="0"/>
        <v>SITEID,</v>
      </c>
    </row>
    <row r="6" spans="1:3" x14ac:dyDescent="0.35">
      <c r="A6" t="s">
        <v>36</v>
      </c>
      <c r="B6" t="s">
        <v>177</v>
      </c>
      <c r="C6" t="str">
        <f t="shared" si="0"/>
        <v>AGE,</v>
      </c>
    </row>
    <row r="7" spans="1:3" x14ac:dyDescent="0.35">
      <c r="A7" t="s">
        <v>40</v>
      </c>
      <c r="B7" t="s">
        <v>177</v>
      </c>
      <c r="C7" t="str">
        <f t="shared" si="0"/>
        <v>AGEU,</v>
      </c>
    </row>
    <row r="8" spans="1:3" x14ac:dyDescent="0.35">
      <c r="A8" t="s">
        <v>44</v>
      </c>
      <c r="B8" t="s">
        <v>177</v>
      </c>
      <c r="C8" t="str">
        <f t="shared" si="0"/>
        <v>SEX,</v>
      </c>
    </row>
    <row r="9" spans="1:3" x14ac:dyDescent="0.35">
      <c r="A9" t="s">
        <v>47</v>
      </c>
      <c r="B9" t="s">
        <v>177</v>
      </c>
      <c r="C9" t="str">
        <f t="shared" si="0"/>
        <v>RACE,</v>
      </c>
    </row>
    <row r="10" spans="1:3" x14ac:dyDescent="0.35">
      <c r="A10" t="s">
        <v>50</v>
      </c>
      <c r="B10" t="s">
        <v>177</v>
      </c>
      <c r="C10" t="str">
        <f t="shared" si="0"/>
        <v>ETHNIC,</v>
      </c>
    </row>
    <row r="11" spans="1:3" x14ac:dyDescent="0.35">
      <c r="A11" t="s">
        <v>54</v>
      </c>
      <c r="B11" t="s">
        <v>177</v>
      </c>
      <c r="C11" t="str">
        <f t="shared" si="0"/>
        <v>COUNTRY,</v>
      </c>
    </row>
    <row r="12" spans="1:3" x14ac:dyDescent="0.35">
      <c r="A12" t="s">
        <v>58</v>
      </c>
      <c r="B12" t="s">
        <v>177</v>
      </c>
      <c r="C12" t="str">
        <f t="shared" si="0"/>
        <v>REGION1,</v>
      </c>
    </row>
    <row r="13" spans="1:3" x14ac:dyDescent="0.35">
      <c r="A13" t="s">
        <v>61</v>
      </c>
      <c r="B13" t="s">
        <v>177</v>
      </c>
      <c r="C13" t="str">
        <f t="shared" si="0"/>
        <v>SAFFL,</v>
      </c>
    </row>
    <row r="14" spans="1:3" x14ac:dyDescent="0.35">
      <c r="A14" t="s">
        <v>66</v>
      </c>
      <c r="B14" t="s">
        <v>177</v>
      </c>
      <c r="C14" t="str">
        <f t="shared" si="0"/>
        <v>ITTFL,</v>
      </c>
    </row>
    <row r="15" spans="1:3" x14ac:dyDescent="0.35">
      <c r="A15" t="s">
        <v>69</v>
      </c>
      <c r="B15" t="s">
        <v>177</v>
      </c>
      <c r="C15" t="str">
        <f t="shared" si="0"/>
        <v>PPROTFL,</v>
      </c>
    </row>
    <row r="16" spans="1:3" x14ac:dyDescent="0.35">
      <c r="A16" t="s">
        <v>72</v>
      </c>
      <c r="B16" t="s">
        <v>177</v>
      </c>
      <c r="C16" t="str">
        <f t="shared" si="0"/>
        <v>RANDFL,</v>
      </c>
    </row>
    <row r="17" spans="1:3" x14ac:dyDescent="0.35">
      <c r="A17" t="s">
        <v>76</v>
      </c>
      <c r="B17" t="s">
        <v>177</v>
      </c>
      <c r="C17" t="str">
        <f t="shared" si="0"/>
        <v>TRT01P,</v>
      </c>
    </row>
    <row r="18" spans="1:3" x14ac:dyDescent="0.35">
      <c r="A18" t="s">
        <v>79</v>
      </c>
      <c r="B18" t="s">
        <v>177</v>
      </c>
      <c r="C18" t="str">
        <f t="shared" si="0"/>
        <v>TRT01PN,</v>
      </c>
    </row>
    <row r="19" spans="1:3" x14ac:dyDescent="0.35">
      <c r="A19" t="s">
        <v>82</v>
      </c>
      <c r="B19" t="s">
        <v>177</v>
      </c>
      <c r="C19" t="str">
        <f t="shared" si="0"/>
        <v>TRT01A,</v>
      </c>
    </row>
    <row r="20" spans="1:3" x14ac:dyDescent="0.35">
      <c r="A20" t="s">
        <v>85</v>
      </c>
      <c r="B20" t="s">
        <v>177</v>
      </c>
      <c r="C20" t="str">
        <f t="shared" si="0"/>
        <v>TRT01AN,</v>
      </c>
    </row>
    <row r="21" spans="1:3" x14ac:dyDescent="0.35">
      <c r="A21" t="s">
        <v>88</v>
      </c>
      <c r="B21" t="s">
        <v>177</v>
      </c>
      <c r="C21" t="str">
        <f t="shared" si="0"/>
        <v>TRTSDT,</v>
      </c>
    </row>
    <row r="22" spans="1:3" x14ac:dyDescent="0.35">
      <c r="A22" t="s">
        <v>92</v>
      </c>
      <c r="B22" t="s">
        <v>177</v>
      </c>
      <c r="C22" t="str">
        <f t="shared" si="0"/>
        <v>TRTEDT,</v>
      </c>
    </row>
    <row r="23" spans="1:3" x14ac:dyDescent="0.35">
      <c r="A23" t="s">
        <v>95</v>
      </c>
      <c r="B23" t="s">
        <v>177</v>
      </c>
      <c r="C23" t="str">
        <f t="shared" si="0"/>
        <v>VSSEQ,</v>
      </c>
    </row>
    <row r="24" spans="1:3" x14ac:dyDescent="0.35">
      <c r="A24" t="s">
        <v>98</v>
      </c>
      <c r="B24" t="s">
        <v>177</v>
      </c>
      <c r="C24" t="str">
        <f t="shared" si="0"/>
        <v>VISIT,</v>
      </c>
    </row>
    <row r="25" spans="1:3" x14ac:dyDescent="0.35">
      <c r="A25" t="s">
        <v>102</v>
      </c>
      <c r="B25" t="s">
        <v>177</v>
      </c>
      <c r="C25" t="str">
        <f t="shared" si="0"/>
        <v>VISITNUM,</v>
      </c>
    </row>
    <row r="26" spans="1:3" x14ac:dyDescent="0.35">
      <c r="A26" t="s">
        <v>106</v>
      </c>
      <c r="B26" t="s">
        <v>177</v>
      </c>
      <c r="C26" t="str">
        <f t="shared" si="0"/>
        <v>VSDTC,</v>
      </c>
    </row>
    <row r="27" spans="1:3" x14ac:dyDescent="0.35">
      <c r="A27" t="s">
        <v>109</v>
      </c>
      <c r="B27" t="s">
        <v>177</v>
      </c>
      <c r="C27" t="str">
        <f t="shared" si="0"/>
        <v>AVISIT,</v>
      </c>
    </row>
    <row r="28" spans="1:3" x14ac:dyDescent="0.35">
      <c r="A28" t="s">
        <v>112</v>
      </c>
      <c r="B28" t="s">
        <v>177</v>
      </c>
      <c r="C28" t="str">
        <f t="shared" si="0"/>
        <v>AVISITN,</v>
      </c>
    </row>
    <row r="29" spans="1:3" x14ac:dyDescent="0.35">
      <c r="A29" t="s">
        <v>114</v>
      </c>
      <c r="B29" t="s">
        <v>177</v>
      </c>
      <c r="C29" t="str">
        <f t="shared" si="0"/>
        <v>PARAM,</v>
      </c>
    </row>
    <row r="30" spans="1:3" x14ac:dyDescent="0.35">
      <c r="A30" t="s">
        <v>118</v>
      </c>
      <c r="B30" t="s">
        <v>177</v>
      </c>
      <c r="C30" t="str">
        <f t="shared" si="0"/>
        <v>PARAMN,</v>
      </c>
    </row>
    <row r="31" spans="1:3" x14ac:dyDescent="0.35">
      <c r="A31" t="s">
        <v>122</v>
      </c>
      <c r="B31" t="s">
        <v>177</v>
      </c>
      <c r="C31" t="str">
        <f t="shared" si="0"/>
        <v>PARAMCD,</v>
      </c>
    </row>
    <row r="32" spans="1:3" x14ac:dyDescent="0.35">
      <c r="A32" t="s">
        <v>126</v>
      </c>
      <c r="B32" t="s">
        <v>177</v>
      </c>
      <c r="C32" t="str">
        <f t="shared" si="0"/>
        <v>AVALC,</v>
      </c>
    </row>
    <row r="33" spans="1:3" x14ac:dyDescent="0.35">
      <c r="A33" t="s">
        <v>129</v>
      </c>
      <c r="B33" t="s">
        <v>177</v>
      </c>
      <c r="C33" t="str">
        <f t="shared" si="0"/>
        <v>AVAL,</v>
      </c>
    </row>
    <row r="34" spans="1:3" x14ac:dyDescent="0.35">
      <c r="A34" t="s">
        <v>132</v>
      </c>
      <c r="B34" t="s">
        <v>177</v>
      </c>
      <c r="C34" t="str">
        <f t="shared" si="0"/>
        <v>ADT,</v>
      </c>
    </row>
    <row r="35" spans="1:3" x14ac:dyDescent="0.35">
      <c r="A35" t="s">
        <v>135</v>
      </c>
      <c r="B35" t="s">
        <v>177</v>
      </c>
      <c r="C35" t="str">
        <f t="shared" si="0"/>
        <v>ADTM,</v>
      </c>
    </row>
    <row r="36" spans="1:3" x14ac:dyDescent="0.35">
      <c r="A36" t="s">
        <v>139</v>
      </c>
      <c r="B36" t="s">
        <v>177</v>
      </c>
      <c r="C36" t="str">
        <f t="shared" si="0"/>
        <v>ADY ,</v>
      </c>
    </row>
    <row r="37" spans="1:3" x14ac:dyDescent="0.35">
      <c r="A37" t="s">
        <v>143</v>
      </c>
      <c r="B37" t="s">
        <v>177</v>
      </c>
      <c r="C37" t="str">
        <f t="shared" si="0"/>
        <v>ABLFL,</v>
      </c>
    </row>
    <row r="38" spans="1:3" x14ac:dyDescent="0.35">
      <c r="A38" t="s">
        <v>147</v>
      </c>
      <c r="B38" t="s">
        <v>177</v>
      </c>
      <c r="C38" t="str">
        <f t="shared" si="0"/>
        <v>BASE,</v>
      </c>
    </row>
    <row r="39" spans="1:3" x14ac:dyDescent="0.35">
      <c r="A39" t="s">
        <v>150</v>
      </c>
      <c r="B39" t="s">
        <v>177</v>
      </c>
      <c r="C39" t="str">
        <f t="shared" si="0"/>
        <v>BASEC,</v>
      </c>
    </row>
    <row r="40" spans="1:3" x14ac:dyDescent="0.35">
      <c r="A40" t="s">
        <v>153</v>
      </c>
      <c r="B40" t="s">
        <v>177</v>
      </c>
      <c r="C40" t="str">
        <f t="shared" si="0"/>
        <v>CHG,</v>
      </c>
    </row>
    <row r="41" spans="1:3" x14ac:dyDescent="0.35">
      <c r="A41" t="s">
        <v>156</v>
      </c>
      <c r="B41" t="s">
        <v>177</v>
      </c>
      <c r="C41" t="str">
        <f t="shared" si="0"/>
        <v>PCHG,</v>
      </c>
    </row>
    <row r="42" spans="1:3" x14ac:dyDescent="0.35">
      <c r="A42" t="s">
        <v>159</v>
      </c>
      <c r="B42" t="s">
        <v>177</v>
      </c>
      <c r="C42" t="str">
        <f t="shared" si="0"/>
        <v>ANL01FL,</v>
      </c>
    </row>
    <row r="43" spans="1:3" x14ac:dyDescent="0.35">
      <c r="A43" t="s">
        <v>162</v>
      </c>
      <c r="B43" t="s">
        <v>177</v>
      </c>
      <c r="C43" t="str">
        <f t="shared" si="0"/>
        <v>ONTRTFL,</v>
      </c>
    </row>
    <row r="44" spans="1:3" x14ac:dyDescent="0.35">
      <c r="A44" t="s">
        <v>165</v>
      </c>
      <c r="B44" t="s">
        <v>177</v>
      </c>
      <c r="C44" t="str">
        <f t="shared" si="0"/>
        <v>CRIT1,</v>
      </c>
    </row>
    <row r="45" spans="1:3" x14ac:dyDescent="0.35">
      <c r="A45" t="s">
        <v>168</v>
      </c>
      <c r="B45" t="s">
        <v>177</v>
      </c>
      <c r="C45" t="str">
        <f t="shared" si="0"/>
        <v>CRITFL,</v>
      </c>
    </row>
    <row r="46" spans="1:3" x14ac:dyDescent="0.35">
      <c r="A46" t="s">
        <v>171</v>
      </c>
      <c r="B46" t="s">
        <v>177</v>
      </c>
      <c r="C46" t="str">
        <f t="shared" si="0"/>
        <v>CRIT2,</v>
      </c>
    </row>
    <row r="47" spans="1:3" x14ac:dyDescent="0.35">
      <c r="A47" t="s">
        <v>174</v>
      </c>
      <c r="B47" t="s">
        <v>177</v>
      </c>
      <c r="C47" t="str">
        <f t="shared" si="0"/>
        <v>CRIT2FL,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2023-04-22T18:08:44Z</dcterms:modified>
</cp:coreProperties>
</file>